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114A279-72C8-4CDD-B66C-17F103E75F5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shboard" sheetId="1" r:id="rId1"/>
    <sheet name="Purchase Orders" sheetId="2" r:id="rId2"/>
    <sheet name="Receipts" sheetId="3" r:id="rId3"/>
    <sheet name="Suppliers" sheetId="4" r:id="rId4"/>
    <sheet name="Read Me" sheetId="5" r:id="rId5"/>
  </sheets>
  <definedNames>
    <definedName name="_xlnm._FilterDatabase" localSheetId="1" hidden="1">'Purchase Orders'!$A$4:$P$504</definedName>
    <definedName name="_xlnm._FilterDatabase" localSheetId="2" hidden="1">Receipts!$A$4:$F$510</definedName>
    <definedName name="_xlnm._FilterDatabase" localSheetId="3" hidden="1">Suppliers!$A$4:$H$104</definedName>
  </definedNames>
  <calcPr calcId="191029" forceFullCalc="1"/>
</workbook>
</file>

<file path=xl/calcChain.xml><?xml version="1.0" encoding="utf-8"?>
<calcChain xmlns="http://schemas.openxmlformats.org/spreadsheetml/2006/main">
  <c r="M10" i="2" l="1"/>
  <c r="M13" i="2"/>
  <c r="M17" i="2"/>
  <c r="M16" i="2"/>
  <c r="M14" i="2"/>
  <c r="M15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N504" i="2"/>
  <c r="L504" i="2"/>
  <c r="O504" i="2" s="1"/>
  <c r="K504" i="2"/>
  <c r="J504" i="2"/>
  <c r="C504" i="2"/>
  <c r="N503" i="2"/>
  <c r="L503" i="2"/>
  <c r="O503" i="2" s="1"/>
  <c r="K503" i="2"/>
  <c r="J503" i="2"/>
  <c r="C503" i="2"/>
  <c r="N502" i="2"/>
  <c r="L502" i="2"/>
  <c r="O502" i="2" s="1"/>
  <c r="K502" i="2"/>
  <c r="J502" i="2"/>
  <c r="C502" i="2"/>
  <c r="N501" i="2"/>
  <c r="L501" i="2"/>
  <c r="O501" i="2" s="1"/>
  <c r="K501" i="2"/>
  <c r="J501" i="2"/>
  <c r="C501" i="2"/>
  <c r="N500" i="2"/>
  <c r="L500" i="2"/>
  <c r="O500" i="2" s="1"/>
  <c r="K500" i="2"/>
  <c r="J500" i="2"/>
  <c r="C500" i="2"/>
  <c r="N499" i="2"/>
  <c r="L499" i="2"/>
  <c r="O499" i="2" s="1"/>
  <c r="K499" i="2"/>
  <c r="J499" i="2"/>
  <c r="C499" i="2"/>
  <c r="N498" i="2"/>
  <c r="L498" i="2"/>
  <c r="O498" i="2" s="1"/>
  <c r="K498" i="2"/>
  <c r="J498" i="2"/>
  <c r="C498" i="2"/>
  <c r="N497" i="2"/>
  <c r="L497" i="2"/>
  <c r="O497" i="2" s="1"/>
  <c r="K497" i="2"/>
  <c r="J497" i="2"/>
  <c r="C497" i="2"/>
  <c r="N496" i="2"/>
  <c r="L496" i="2"/>
  <c r="O496" i="2" s="1"/>
  <c r="K496" i="2"/>
  <c r="J496" i="2"/>
  <c r="C496" i="2"/>
  <c r="N495" i="2"/>
  <c r="L495" i="2"/>
  <c r="O495" i="2" s="1"/>
  <c r="K495" i="2"/>
  <c r="J495" i="2"/>
  <c r="C495" i="2"/>
  <c r="N494" i="2"/>
  <c r="L494" i="2"/>
  <c r="O494" i="2" s="1"/>
  <c r="K494" i="2"/>
  <c r="J494" i="2"/>
  <c r="C494" i="2"/>
  <c r="N493" i="2"/>
  <c r="L493" i="2"/>
  <c r="O493" i="2" s="1"/>
  <c r="K493" i="2"/>
  <c r="J493" i="2"/>
  <c r="C493" i="2"/>
  <c r="N492" i="2"/>
  <c r="L492" i="2"/>
  <c r="O492" i="2" s="1"/>
  <c r="K492" i="2"/>
  <c r="J492" i="2"/>
  <c r="C492" i="2"/>
  <c r="N491" i="2"/>
  <c r="L491" i="2"/>
  <c r="O491" i="2" s="1"/>
  <c r="K491" i="2"/>
  <c r="J491" i="2"/>
  <c r="C491" i="2"/>
  <c r="N490" i="2"/>
  <c r="L490" i="2"/>
  <c r="O490" i="2" s="1"/>
  <c r="K490" i="2"/>
  <c r="J490" i="2"/>
  <c r="C490" i="2"/>
  <c r="N489" i="2"/>
  <c r="L489" i="2"/>
  <c r="O489" i="2" s="1"/>
  <c r="K489" i="2"/>
  <c r="J489" i="2"/>
  <c r="C489" i="2"/>
  <c r="N488" i="2"/>
  <c r="L488" i="2"/>
  <c r="O488" i="2" s="1"/>
  <c r="K488" i="2"/>
  <c r="J488" i="2"/>
  <c r="C488" i="2"/>
  <c r="N487" i="2"/>
  <c r="L487" i="2"/>
  <c r="O487" i="2" s="1"/>
  <c r="K487" i="2"/>
  <c r="J487" i="2"/>
  <c r="C487" i="2"/>
  <c r="N486" i="2"/>
  <c r="L486" i="2"/>
  <c r="O486" i="2" s="1"/>
  <c r="K486" i="2"/>
  <c r="J486" i="2"/>
  <c r="C486" i="2"/>
  <c r="N485" i="2"/>
  <c r="L485" i="2"/>
  <c r="O485" i="2" s="1"/>
  <c r="K485" i="2"/>
  <c r="J485" i="2"/>
  <c r="C485" i="2"/>
  <c r="N484" i="2"/>
  <c r="L484" i="2"/>
  <c r="O484" i="2" s="1"/>
  <c r="K484" i="2"/>
  <c r="J484" i="2"/>
  <c r="C484" i="2"/>
  <c r="N483" i="2"/>
  <c r="L483" i="2"/>
  <c r="O483" i="2" s="1"/>
  <c r="K483" i="2"/>
  <c r="J483" i="2"/>
  <c r="C483" i="2"/>
  <c r="N482" i="2"/>
  <c r="L482" i="2"/>
  <c r="O482" i="2" s="1"/>
  <c r="K482" i="2"/>
  <c r="J482" i="2"/>
  <c r="C482" i="2"/>
  <c r="N481" i="2"/>
  <c r="L481" i="2"/>
  <c r="O481" i="2" s="1"/>
  <c r="K481" i="2"/>
  <c r="J481" i="2"/>
  <c r="C481" i="2"/>
  <c r="N480" i="2"/>
  <c r="L480" i="2"/>
  <c r="O480" i="2" s="1"/>
  <c r="K480" i="2"/>
  <c r="J480" i="2"/>
  <c r="C480" i="2"/>
  <c r="N479" i="2"/>
  <c r="L479" i="2"/>
  <c r="O479" i="2" s="1"/>
  <c r="K479" i="2"/>
  <c r="J479" i="2"/>
  <c r="C479" i="2"/>
  <c r="N478" i="2"/>
  <c r="L478" i="2"/>
  <c r="O478" i="2" s="1"/>
  <c r="K478" i="2"/>
  <c r="J478" i="2"/>
  <c r="C478" i="2"/>
  <c r="N477" i="2"/>
  <c r="L477" i="2"/>
  <c r="O477" i="2" s="1"/>
  <c r="K477" i="2"/>
  <c r="J477" i="2"/>
  <c r="C477" i="2"/>
  <c r="N476" i="2"/>
  <c r="L476" i="2"/>
  <c r="O476" i="2" s="1"/>
  <c r="K476" i="2"/>
  <c r="J476" i="2"/>
  <c r="C476" i="2"/>
  <c r="N475" i="2"/>
  <c r="L475" i="2"/>
  <c r="O475" i="2" s="1"/>
  <c r="K475" i="2"/>
  <c r="J475" i="2"/>
  <c r="C475" i="2"/>
  <c r="N474" i="2"/>
  <c r="L474" i="2"/>
  <c r="O474" i="2" s="1"/>
  <c r="K474" i="2"/>
  <c r="J474" i="2"/>
  <c r="C474" i="2"/>
  <c r="N473" i="2"/>
  <c r="L473" i="2"/>
  <c r="O473" i="2" s="1"/>
  <c r="K473" i="2"/>
  <c r="J473" i="2"/>
  <c r="C473" i="2"/>
  <c r="N472" i="2"/>
  <c r="L472" i="2"/>
  <c r="O472" i="2" s="1"/>
  <c r="K472" i="2"/>
  <c r="J472" i="2"/>
  <c r="C472" i="2"/>
  <c r="N471" i="2"/>
  <c r="L471" i="2"/>
  <c r="O471" i="2" s="1"/>
  <c r="K471" i="2"/>
  <c r="J471" i="2"/>
  <c r="C471" i="2"/>
  <c r="N470" i="2"/>
  <c r="L470" i="2"/>
  <c r="O470" i="2" s="1"/>
  <c r="K470" i="2"/>
  <c r="J470" i="2"/>
  <c r="C470" i="2"/>
  <c r="N469" i="2"/>
  <c r="L469" i="2"/>
  <c r="O469" i="2" s="1"/>
  <c r="K469" i="2"/>
  <c r="J469" i="2"/>
  <c r="C469" i="2"/>
  <c r="N468" i="2"/>
  <c r="L468" i="2"/>
  <c r="O468" i="2" s="1"/>
  <c r="K468" i="2"/>
  <c r="J468" i="2"/>
  <c r="C468" i="2"/>
  <c r="N467" i="2"/>
  <c r="L467" i="2"/>
  <c r="O467" i="2" s="1"/>
  <c r="K467" i="2"/>
  <c r="J467" i="2"/>
  <c r="C467" i="2"/>
  <c r="N466" i="2"/>
  <c r="L466" i="2"/>
  <c r="O466" i="2" s="1"/>
  <c r="K466" i="2"/>
  <c r="J466" i="2"/>
  <c r="C466" i="2"/>
  <c r="N465" i="2"/>
  <c r="L465" i="2"/>
  <c r="O465" i="2" s="1"/>
  <c r="K465" i="2"/>
  <c r="J465" i="2"/>
  <c r="C465" i="2"/>
  <c r="N464" i="2"/>
  <c r="L464" i="2"/>
  <c r="O464" i="2" s="1"/>
  <c r="K464" i="2"/>
  <c r="J464" i="2"/>
  <c r="C464" i="2"/>
  <c r="N463" i="2"/>
  <c r="L463" i="2"/>
  <c r="O463" i="2" s="1"/>
  <c r="K463" i="2"/>
  <c r="J463" i="2"/>
  <c r="C463" i="2"/>
  <c r="N462" i="2"/>
  <c r="L462" i="2"/>
  <c r="O462" i="2" s="1"/>
  <c r="K462" i="2"/>
  <c r="J462" i="2"/>
  <c r="C462" i="2"/>
  <c r="N461" i="2"/>
  <c r="L461" i="2"/>
  <c r="O461" i="2" s="1"/>
  <c r="K461" i="2"/>
  <c r="J461" i="2"/>
  <c r="C461" i="2"/>
  <c r="N460" i="2"/>
  <c r="L460" i="2"/>
  <c r="O460" i="2" s="1"/>
  <c r="K460" i="2"/>
  <c r="J460" i="2"/>
  <c r="C460" i="2"/>
  <c r="N459" i="2"/>
  <c r="L459" i="2"/>
  <c r="O459" i="2" s="1"/>
  <c r="K459" i="2"/>
  <c r="J459" i="2"/>
  <c r="C459" i="2"/>
  <c r="N458" i="2"/>
  <c r="L458" i="2"/>
  <c r="O458" i="2" s="1"/>
  <c r="K458" i="2"/>
  <c r="J458" i="2"/>
  <c r="C458" i="2"/>
  <c r="N457" i="2"/>
  <c r="L457" i="2"/>
  <c r="O457" i="2" s="1"/>
  <c r="K457" i="2"/>
  <c r="J457" i="2"/>
  <c r="C457" i="2"/>
  <c r="N456" i="2"/>
  <c r="L456" i="2"/>
  <c r="O456" i="2" s="1"/>
  <c r="K456" i="2"/>
  <c r="J456" i="2"/>
  <c r="C456" i="2"/>
  <c r="N455" i="2"/>
  <c r="L455" i="2"/>
  <c r="O455" i="2" s="1"/>
  <c r="K455" i="2"/>
  <c r="J455" i="2"/>
  <c r="C455" i="2"/>
  <c r="N454" i="2"/>
  <c r="L454" i="2"/>
  <c r="O454" i="2" s="1"/>
  <c r="K454" i="2"/>
  <c r="J454" i="2"/>
  <c r="C454" i="2"/>
  <c r="N453" i="2"/>
  <c r="L453" i="2"/>
  <c r="O453" i="2" s="1"/>
  <c r="K453" i="2"/>
  <c r="J453" i="2"/>
  <c r="C453" i="2"/>
  <c r="N452" i="2"/>
  <c r="L452" i="2"/>
  <c r="O452" i="2" s="1"/>
  <c r="K452" i="2"/>
  <c r="J452" i="2"/>
  <c r="C452" i="2"/>
  <c r="N451" i="2"/>
  <c r="L451" i="2"/>
  <c r="O451" i="2" s="1"/>
  <c r="K451" i="2"/>
  <c r="J451" i="2"/>
  <c r="C451" i="2"/>
  <c r="N450" i="2"/>
  <c r="L450" i="2"/>
  <c r="O450" i="2" s="1"/>
  <c r="K450" i="2"/>
  <c r="J450" i="2"/>
  <c r="C450" i="2"/>
  <c r="N449" i="2"/>
  <c r="L449" i="2"/>
  <c r="O449" i="2" s="1"/>
  <c r="K449" i="2"/>
  <c r="J449" i="2"/>
  <c r="C449" i="2"/>
  <c r="N448" i="2"/>
  <c r="L448" i="2"/>
  <c r="O448" i="2" s="1"/>
  <c r="K448" i="2"/>
  <c r="J448" i="2"/>
  <c r="C448" i="2"/>
  <c r="N447" i="2"/>
  <c r="L447" i="2"/>
  <c r="O447" i="2" s="1"/>
  <c r="K447" i="2"/>
  <c r="J447" i="2"/>
  <c r="C447" i="2"/>
  <c r="N446" i="2"/>
  <c r="L446" i="2"/>
  <c r="O446" i="2" s="1"/>
  <c r="K446" i="2"/>
  <c r="J446" i="2"/>
  <c r="C446" i="2"/>
  <c r="N445" i="2"/>
  <c r="L445" i="2"/>
  <c r="O445" i="2" s="1"/>
  <c r="K445" i="2"/>
  <c r="J445" i="2"/>
  <c r="C445" i="2"/>
  <c r="N444" i="2"/>
  <c r="L444" i="2"/>
  <c r="O444" i="2" s="1"/>
  <c r="K444" i="2"/>
  <c r="J444" i="2"/>
  <c r="C444" i="2"/>
  <c r="N443" i="2"/>
  <c r="L443" i="2"/>
  <c r="O443" i="2" s="1"/>
  <c r="K443" i="2"/>
  <c r="J443" i="2"/>
  <c r="C443" i="2"/>
  <c r="N442" i="2"/>
  <c r="L442" i="2"/>
  <c r="O442" i="2" s="1"/>
  <c r="K442" i="2"/>
  <c r="J442" i="2"/>
  <c r="C442" i="2"/>
  <c r="N441" i="2"/>
  <c r="L441" i="2"/>
  <c r="O441" i="2" s="1"/>
  <c r="K441" i="2"/>
  <c r="J441" i="2"/>
  <c r="C441" i="2"/>
  <c r="N440" i="2"/>
  <c r="L440" i="2"/>
  <c r="O440" i="2" s="1"/>
  <c r="K440" i="2"/>
  <c r="J440" i="2"/>
  <c r="C440" i="2"/>
  <c r="N439" i="2"/>
  <c r="L439" i="2"/>
  <c r="O439" i="2" s="1"/>
  <c r="K439" i="2"/>
  <c r="J439" i="2"/>
  <c r="C439" i="2"/>
  <c r="N438" i="2"/>
  <c r="L438" i="2"/>
  <c r="O438" i="2" s="1"/>
  <c r="K438" i="2"/>
  <c r="J438" i="2"/>
  <c r="C438" i="2"/>
  <c r="N437" i="2"/>
  <c r="L437" i="2"/>
  <c r="O437" i="2" s="1"/>
  <c r="K437" i="2"/>
  <c r="J437" i="2"/>
  <c r="C437" i="2"/>
  <c r="N436" i="2"/>
  <c r="L436" i="2"/>
  <c r="O436" i="2" s="1"/>
  <c r="K436" i="2"/>
  <c r="J436" i="2"/>
  <c r="C436" i="2"/>
  <c r="N435" i="2"/>
  <c r="L435" i="2"/>
  <c r="O435" i="2" s="1"/>
  <c r="K435" i="2"/>
  <c r="J435" i="2"/>
  <c r="C435" i="2"/>
  <c r="N434" i="2"/>
  <c r="L434" i="2"/>
  <c r="O434" i="2" s="1"/>
  <c r="K434" i="2"/>
  <c r="J434" i="2"/>
  <c r="C434" i="2"/>
  <c r="N433" i="2"/>
  <c r="L433" i="2"/>
  <c r="O433" i="2" s="1"/>
  <c r="K433" i="2"/>
  <c r="J433" i="2"/>
  <c r="C433" i="2"/>
  <c r="N432" i="2"/>
  <c r="L432" i="2"/>
  <c r="O432" i="2" s="1"/>
  <c r="K432" i="2"/>
  <c r="J432" i="2"/>
  <c r="C432" i="2"/>
  <c r="N431" i="2"/>
  <c r="L431" i="2"/>
  <c r="O431" i="2" s="1"/>
  <c r="K431" i="2"/>
  <c r="J431" i="2"/>
  <c r="C431" i="2"/>
  <c r="N430" i="2"/>
  <c r="L430" i="2"/>
  <c r="O430" i="2" s="1"/>
  <c r="K430" i="2"/>
  <c r="J430" i="2"/>
  <c r="C430" i="2"/>
  <c r="N429" i="2"/>
  <c r="L429" i="2"/>
  <c r="O429" i="2" s="1"/>
  <c r="K429" i="2"/>
  <c r="J429" i="2"/>
  <c r="C429" i="2"/>
  <c r="N428" i="2"/>
  <c r="L428" i="2"/>
  <c r="O428" i="2" s="1"/>
  <c r="K428" i="2"/>
  <c r="J428" i="2"/>
  <c r="C428" i="2"/>
  <c r="N427" i="2"/>
  <c r="L427" i="2"/>
  <c r="O427" i="2" s="1"/>
  <c r="K427" i="2"/>
  <c r="J427" i="2"/>
  <c r="C427" i="2"/>
  <c r="N426" i="2"/>
  <c r="L426" i="2"/>
  <c r="O426" i="2" s="1"/>
  <c r="K426" i="2"/>
  <c r="J426" i="2"/>
  <c r="C426" i="2"/>
  <c r="N425" i="2"/>
  <c r="L425" i="2"/>
  <c r="O425" i="2" s="1"/>
  <c r="K425" i="2"/>
  <c r="J425" i="2"/>
  <c r="C425" i="2"/>
  <c r="N424" i="2"/>
  <c r="L424" i="2"/>
  <c r="O424" i="2" s="1"/>
  <c r="K424" i="2"/>
  <c r="J424" i="2"/>
  <c r="C424" i="2"/>
  <c r="N423" i="2"/>
  <c r="L423" i="2"/>
  <c r="O423" i="2" s="1"/>
  <c r="K423" i="2"/>
  <c r="J423" i="2"/>
  <c r="C423" i="2"/>
  <c r="N422" i="2"/>
  <c r="L422" i="2"/>
  <c r="O422" i="2" s="1"/>
  <c r="K422" i="2"/>
  <c r="J422" i="2"/>
  <c r="C422" i="2"/>
  <c r="N421" i="2"/>
  <c r="L421" i="2"/>
  <c r="O421" i="2" s="1"/>
  <c r="K421" i="2"/>
  <c r="J421" i="2"/>
  <c r="C421" i="2"/>
  <c r="N420" i="2"/>
  <c r="L420" i="2"/>
  <c r="O420" i="2" s="1"/>
  <c r="K420" i="2"/>
  <c r="J420" i="2"/>
  <c r="C420" i="2"/>
  <c r="N419" i="2"/>
  <c r="L419" i="2"/>
  <c r="O419" i="2" s="1"/>
  <c r="K419" i="2"/>
  <c r="J419" i="2"/>
  <c r="C419" i="2"/>
  <c r="N418" i="2"/>
  <c r="L418" i="2"/>
  <c r="O418" i="2" s="1"/>
  <c r="K418" i="2"/>
  <c r="J418" i="2"/>
  <c r="C418" i="2"/>
  <c r="N417" i="2"/>
  <c r="L417" i="2"/>
  <c r="O417" i="2" s="1"/>
  <c r="K417" i="2"/>
  <c r="J417" i="2"/>
  <c r="C417" i="2"/>
  <c r="N416" i="2"/>
  <c r="L416" i="2"/>
  <c r="O416" i="2" s="1"/>
  <c r="K416" i="2"/>
  <c r="J416" i="2"/>
  <c r="C416" i="2"/>
  <c r="N415" i="2"/>
  <c r="L415" i="2"/>
  <c r="O415" i="2" s="1"/>
  <c r="K415" i="2"/>
  <c r="J415" i="2"/>
  <c r="C415" i="2"/>
  <c r="N414" i="2"/>
  <c r="L414" i="2"/>
  <c r="O414" i="2" s="1"/>
  <c r="K414" i="2"/>
  <c r="J414" i="2"/>
  <c r="C414" i="2"/>
  <c r="N413" i="2"/>
  <c r="L413" i="2"/>
  <c r="O413" i="2" s="1"/>
  <c r="K413" i="2"/>
  <c r="J413" i="2"/>
  <c r="C413" i="2"/>
  <c r="N412" i="2"/>
  <c r="L412" i="2"/>
  <c r="O412" i="2" s="1"/>
  <c r="K412" i="2"/>
  <c r="J412" i="2"/>
  <c r="C412" i="2"/>
  <c r="N411" i="2"/>
  <c r="L411" i="2"/>
  <c r="O411" i="2" s="1"/>
  <c r="K411" i="2"/>
  <c r="J411" i="2"/>
  <c r="C411" i="2"/>
  <c r="N410" i="2"/>
  <c r="L410" i="2"/>
  <c r="O410" i="2" s="1"/>
  <c r="K410" i="2"/>
  <c r="J410" i="2"/>
  <c r="C410" i="2"/>
  <c r="N409" i="2"/>
  <c r="L409" i="2"/>
  <c r="O409" i="2" s="1"/>
  <c r="K409" i="2"/>
  <c r="J409" i="2"/>
  <c r="C409" i="2"/>
  <c r="N408" i="2"/>
  <c r="L408" i="2"/>
  <c r="O408" i="2" s="1"/>
  <c r="K408" i="2"/>
  <c r="J408" i="2"/>
  <c r="C408" i="2"/>
  <c r="N407" i="2"/>
  <c r="L407" i="2"/>
  <c r="O407" i="2" s="1"/>
  <c r="K407" i="2"/>
  <c r="J407" i="2"/>
  <c r="C407" i="2"/>
  <c r="N406" i="2"/>
  <c r="L406" i="2"/>
  <c r="O406" i="2" s="1"/>
  <c r="K406" i="2"/>
  <c r="J406" i="2"/>
  <c r="C406" i="2"/>
  <c r="N405" i="2"/>
  <c r="L405" i="2"/>
  <c r="O405" i="2" s="1"/>
  <c r="K405" i="2"/>
  <c r="J405" i="2"/>
  <c r="C405" i="2"/>
  <c r="N404" i="2"/>
  <c r="L404" i="2"/>
  <c r="O404" i="2" s="1"/>
  <c r="K404" i="2"/>
  <c r="J404" i="2"/>
  <c r="C404" i="2"/>
  <c r="N403" i="2"/>
  <c r="L403" i="2"/>
  <c r="O403" i="2" s="1"/>
  <c r="K403" i="2"/>
  <c r="J403" i="2"/>
  <c r="C403" i="2"/>
  <c r="N402" i="2"/>
  <c r="L402" i="2"/>
  <c r="O402" i="2" s="1"/>
  <c r="K402" i="2"/>
  <c r="J402" i="2"/>
  <c r="C402" i="2"/>
  <c r="N401" i="2"/>
  <c r="L401" i="2"/>
  <c r="O401" i="2" s="1"/>
  <c r="K401" i="2"/>
  <c r="J401" i="2"/>
  <c r="C401" i="2"/>
  <c r="N400" i="2"/>
  <c r="L400" i="2"/>
  <c r="O400" i="2" s="1"/>
  <c r="K400" i="2"/>
  <c r="J400" i="2"/>
  <c r="C400" i="2"/>
  <c r="N399" i="2"/>
  <c r="L399" i="2"/>
  <c r="O399" i="2" s="1"/>
  <c r="K399" i="2"/>
  <c r="J399" i="2"/>
  <c r="C399" i="2"/>
  <c r="N398" i="2"/>
  <c r="L398" i="2"/>
  <c r="O398" i="2" s="1"/>
  <c r="K398" i="2"/>
  <c r="J398" i="2"/>
  <c r="C398" i="2"/>
  <c r="N397" i="2"/>
  <c r="L397" i="2"/>
  <c r="O397" i="2" s="1"/>
  <c r="K397" i="2"/>
  <c r="J397" i="2"/>
  <c r="C397" i="2"/>
  <c r="N396" i="2"/>
  <c r="L396" i="2"/>
  <c r="O396" i="2" s="1"/>
  <c r="K396" i="2"/>
  <c r="J396" i="2"/>
  <c r="C396" i="2"/>
  <c r="N395" i="2"/>
  <c r="L395" i="2"/>
  <c r="O395" i="2" s="1"/>
  <c r="K395" i="2"/>
  <c r="J395" i="2"/>
  <c r="C395" i="2"/>
  <c r="N394" i="2"/>
  <c r="L394" i="2"/>
  <c r="O394" i="2" s="1"/>
  <c r="K394" i="2"/>
  <c r="J394" i="2"/>
  <c r="C394" i="2"/>
  <c r="N393" i="2"/>
  <c r="L393" i="2"/>
  <c r="O393" i="2" s="1"/>
  <c r="K393" i="2"/>
  <c r="J393" i="2"/>
  <c r="C393" i="2"/>
  <c r="N392" i="2"/>
  <c r="L392" i="2"/>
  <c r="O392" i="2" s="1"/>
  <c r="K392" i="2"/>
  <c r="J392" i="2"/>
  <c r="C392" i="2"/>
  <c r="N391" i="2"/>
  <c r="L391" i="2"/>
  <c r="O391" i="2" s="1"/>
  <c r="K391" i="2"/>
  <c r="J391" i="2"/>
  <c r="C391" i="2"/>
  <c r="N390" i="2"/>
  <c r="L390" i="2"/>
  <c r="O390" i="2" s="1"/>
  <c r="K390" i="2"/>
  <c r="J390" i="2"/>
  <c r="C390" i="2"/>
  <c r="N389" i="2"/>
  <c r="L389" i="2"/>
  <c r="O389" i="2" s="1"/>
  <c r="K389" i="2"/>
  <c r="J389" i="2"/>
  <c r="C389" i="2"/>
  <c r="N388" i="2"/>
  <c r="L388" i="2"/>
  <c r="O388" i="2" s="1"/>
  <c r="K388" i="2"/>
  <c r="J388" i="2"/>
  <c r="C388" i="2"/>
  <c r="N387" i="2"/>
  <c r="L387" i="2"/>
  <c r="O387" i="2" s="1"/>
  <c r="K387" i="2"/>
  <c r="J387" i="2"/>
  <c r="C387" i="2"/>
  <c r="N386" i="2"/>
  <c r="L386" i="2"/>
  <c r="O386" i="2" s="1"/>
  <c r="K386" i="2"/>
  <c r="J386" i="2"/>
  <c r="C386" i="2"/>
  <c r="N385" i="2"/>
  <c r="L385" i="2"/>
  <c r="O385" i="2" s="1"/>
  <c r="K385" i="2"/>
  <c r="J385" i="2"/>
  <c r="C385" i="2"/>
  <c r="N384" i="2"/>
  <c r="L384" i="2"/>
  <c r="O384" i="2" s="1"/>
  <c r="K384" i="2"/>
  <c r="J384" i="2"/>
  <c r="C384" i="2"/>
  <c r="N383" i="2"/>
  <c r="L383" i="2"/>
  <c r="O383" i="2" s="1"/>
  <c r="K383" i="2"/>
  <c r="J383" i="2"/>
  <c r="C383" i="2"/>
  <c r="N382" i="2"/>
  <c r="L382" i="2"/>
  <c r="O382" i="2" s="1"/>
  <c r="K382" i="2"/>
  <c r="J382" i="2"/>
  <c r="C382" i="2"/>
  <c r="N381" i="2"/>
  <c r="L381" i="2"/>
  <c r="O381" i="2" s="1"/>
  <c r="K381" i="2"/>
  <c r="J381" i="2"/>
  <c r="C381" i="2"/>
  <c r="N380" i="2"/>
  <c r="L380" i="2"/>
  <c r="O380" i="2" s="1"/>
  <c r="K380" i="2"/>
  <c r="J380" i="2"/>
  <c r="C380" i="2"/>
  <c r="N379" i="2"/>
  <c r="L379" i="2"/>
  <c r="O379" i="2" s="1"/>
  <c r="K379" i="2"/>
  <c r="J379" i="2"/>
  <c r="C379" i="2"/>
  <c r="N378" i="2"/>
  <c r="L378" i="2"/>
  <c r="O378" i="2" s="1"/>
  <c r="K378" i="2"/>
  <c r="J378" i="2"/>
  <c r="C378" i="2"/>
  <c r="N377" i="2"/>
  <c r="L377" i="2"/>
  <c r="O377" i="2" s="1"/>
  <c r="K377" i="2"/>
  <c r="J377" i="2"/>
  <c r="C377" i="2"/>
  <c r="N376" i="2"/>
  <c r="L376" i="2"/>
  <c r="O376" i="2" s="1"/>
  <c r="K376" i="2"/>
  <c r="J376" i="2"/>
  <c r="C376" i="2"/>
  <c r="N375" i="2"/>
  <c r="L375" i="2"/>
  <c r="O375" i="2" s="1"/>
  <c r="K375" i="2"/>
  <c r="J375" i="2"/>
  <c r="C375" i="2"/>
  <c r="N374" i="2"/>
  <c r="L374" i="2"/>
  <c r="O374" i="2" s="1"/>
  <c r="K374" i="2"/>
  <c r="J374" i="2"/>
  <c r="C374" i="2"/>
  <c r="N373" i="2"/>
  <c r="L373" i="2"/>
  <c r="O373" i="2" s="1"/>
  <c r="K373" i="2"/>
  <c r="J373" i="2"/>
  <c r="C373" i="2"/>
  <c r="N372" i="2"/>
  <c r="L372" i="2"/>
  <c r="O372" i="2" s="1"/>
  <c r="K372" i="2"/>
  <c r="J372" i="2"/>
  <c r="C372" i="2"/>
  <c r="N371" i="2"/>
  <c r="L371" i="2"/>
  <c r="O371" i="2" s="1"/>
  <c r="K371" i="2"/>
  <c r="J371" i="2"/>
  <c r="C371" i="2"/>
  <c r="N370" i="2"/>
  <c r="L370" i="2"/>
  <c r="O370" i="2" s="1"/>
  <c r="K370" i="2"/>
  <c r="J370" i="2"/>
  <c r="C370" i="2"/>
  <c r="N369" i="2"/>
  <c r="L369" i="2"/>
  <c r="O369" i="2" s="1"/>
  <c r="K369" i="2"/>
  <c r="J369" i="2"/>
  <c r="C369" i="2"/>
  <c r="N368" i="2"/>
  <c r="L368" i="2"/>
  <c r="O368" i="2" s="1"/>
  <c r="K368" i="2"/>
  <c r="J368" i="2"/>
  <c r="C368" i="2"/>
  <c r="N367" i="2"/>
  <c r="L367" i="2"/>
  <c r="O367" i="2" s="1"/>
  <c r="K367" i="2"/>
  <c r="J367" i="2"/>
  <c r="C367" i="2"/>
  <c r="N366" i="2"/>
  <c r="L366" i="2"/>
  <c r="O366" i="2" s="1"/>
  <c r="K366" i="2"/>
  <c r="J366" i="2"/>
  <c r="C366" i="2"/>
  <c r="N365" i="2"/>
  <c r="L365" i="2"/>
  <c r="O365" i="2" s="1"/>
  <c r="K365" i="2"/>
  <c r="J365" i="2"/>
  <c r="C365" i="2"/>
  <c r="N364" i="2"/>
  <c r="L364" i="2"/>
  <c r="O364" i="2" s="1"/>
  <c r="K364" i="2"/>
  <c r="J364" i="2"/>
  <c r="C364" i="2"/>
  <c r="N363" i="2"/>
  <c r="L363" i="2"/>
  <c r="O363" i="2" s="1"/>
  <c r="K363" i="2"/>
  <c r="J363" i="2"/>
  <c r="C363" i="2"/>
  <c r="N362" i="2"/>
  <c r="L362" i="2"/>
  <c r="O362" i="2" s="1"/>
  <c r="K362" i="2"/>
  <c r="J362" i="2"/>
  <c r="C362" i="2"/>
  <c r="N361" i="2"/>
  <c r="L361" i="2"/>
  <c r="O361" i="2" s="1"/>
  <c r="K361" i="2"/>
  <c r="J361" i="2"/>
  <c r="C361" i="2"/>
  <c r="N360" i="2"/>
  <c r="L360" i="2"/>
  <c r="O360" i="2" s="1"/>
  <c r="K360" i="2"/>
  <c r="J360" i="2"/>
  <c r="C360" i="2"/>
  <c r="N359" i="2"/>
  <c r="L359" i="2"/>
  <c r="O359" i="2" s="1"/>
  <c r="K359" i="2"/>
  <c r="J359" i="2"/>
  <c r="C359" i="2"/>
  <c r="N358" i="2"/>
  <c r="L358" i="2"/>
  <c r="O358" i="2" s="1"/>
  <c r="K358" i="2"/>
  <c r="J358" i="2"/>
  <c r="C358" i="2"/>
  <c r="N357" i="2"/>
  <c r="L357" i="2"/>
  <c r="O357" i="2" s="1"/>
  <c r="K357" i="2"/>
  <c r="J357" i="2"/>
  <c r="C357" i="2"/>
  <c r="N356" i="2"/>
  <c r="L356" i="2"/>
  <c r="O356" i="2" s="1"/>
  <c r="K356" i="2"/>
  <c r="J356" i="2"/>
  <c r="C356" i="2"/>
  <c r="N355" i="2"/>
  <c r="L355" i="2"/>
  <c r="O355" i="2" s="1"/>
  <c r="K355" i="2"/>
  <c r="J355" i="2"/>
  <c r="C355" i="2"/>
  <c r="N354" i="2"/>
  <c r="L354" i="2"/>
  <c r="O354" i="2" s="1"/>
  <c r="K354" i="2"/>
  <c r="J354" i="2"/>
  <c r="C354" i="2"/>
  <c r="N353" i="2"/>
  <c r="L353" i="2"/>
  <c r="O353" i="2" s="1"/>
  <c r="K353" i="2"/>
  <c r="J353" i="2"/>
  <c r="C353" i="2"/>
  <c r="N352" i="2"/>
  <c r="L352" i="2"/>
  <c r="O352" i="2" s="1"/>
  <c r="K352" i="2"/>
  <c r="J352" i="2"/>
  <c r="C352" i="2"/>
  <c r="N351" i="2"/>
  <c r="L351" i="2"/>
  <c r="O351" i="2" s="1"/>
  <c r="K351" i="2"/>
  <c r="J351" i="2"/>
  <c r="C351" i="2"/>
  <c r="N350" i="2"/>
  <c r="L350" i="2"/>
  <c r="O350" i="2" s="1"/>
  <c r="K350" i="2"/>
  <c r="J350" i="2"/>
  <c r="C350" i="2"/>
  <c r="N349" i="2"/>
  <c r="L349" i="2"/>
  <c r="O349" i="2" s="1"/>
  <c r="K349" i="2"/>
  <c r="J349" i="2"/>
  <c r="C349" i="2"/>
  <c r="N348" i="2"/>
  <c r="L348" i="2"/>
  <c r="O348" i="2" s="1"/>
  <c r="K348" i="2"/>
  <c r="J348" i="2"/>
  <c r="C348" i="2"/>
  <c r="N347" i="2"/>
  <c r="L347" i="2"/>
  <c r="O347" i="2" s="1"/>
  <c r="K347" i="2"/>
  <c r="J347" i="2"/>
  <c r="C347" i="2"/>
  <c r="N346" i="2"/>
  <c r="L346" i="2"/>
  <c r="O346" i="2" s="1"/>
  <c r="K346" i="2"/>
  <c r="J346" i="2"/>
  <c r="C346" i="2"/>
  <c r="N345" i="2"/>
  <c r="L345" i="2"/>
  <c r="O345" i="2" s="1"/>
  <c r="K345" i="2"/>
  <c r="J345" i="2"/>
  <c r="C345" i="2"/>
  <c r="N344" i="2"/>
  <c r="L344" i="2"/>
  <c r="O344" i="2" s="1"/>
  <c r="K344" i="2"/>
  <c r="J344" i="2"/>
  <c r="C344" i="2"/>
  <c r="N343" i="2"/>
  <c r="L343" i="2"/>
  <c r="O343" i="2" s="1"/>
  <c r="K343" i="2"/>
  <c r="J343" i="2"/>
  <c r="C343" i="2"/>
  <c r="N342" i="2"/>
  <c r="L342" i="2"/>
  <c r="O342" i="2" s="1"/>
  <c r="K342" i="2"/>
  <c r="J342" i="2"/>
  <c r="C342" i="2"/>
  <c r="N341" i="2"/>
  <c r="L341" i="2"/>
  <c r="O341" i="2" s="1"/>
  <c r="K341" i="2"/>
  <c r="J341" i="2"/>
  <c r="C341" i="2"/>
  <c r="N340" i="2"/>
  <c r="L340" i="2"/>
  <c r="O340" i="2" s="1"/>
  <c r="K340" i="2"/>
  <c r="J340" i="2"/>
  <c r="C340" i="2"/>
  <c r="N339" i="2"/>
  <c r="L339" i="2"/>
  <c r="O339" i="2" s="1"/>
  <c r="K339" i="2"/>
  <c r="J339" i="2"/>
  <c r="C339" i="2"/>
  <c r="N338" i="2"/>
  <c r="L338" i="2"/>
  <c r="O338" i="2" s="1"/>
  <c r="K338" i="2"/>
  <c r="J338" i="2"/>
  <c r="C338" i="2"/>
  <c r="N337" i="2"/>
  <c r="L337" i="2"/>
  <c r="O337" i="2" s="1"/>
  <c r="K337" i="2"/>
  <c r="J337" i="2"/>
  <c r="C337" i="2"/>
  <c r="N336" i="2"/>
  <c r="L336" i="2"/>
  <c r="O336" i="2" s="1"/>
  <c r="K336" i="2"/>
  <c r="J336" i="2"/>
  <c r="C336" i="2"/>
  <c r="N335" i="2"/>
  <c r="L335" i="2"/>
  <c r="O335" i="2" s="1"/>
  <c r="K335" i="2"/>
  <c r="J335" i="2"/>
  <c r="C335" i="2"/>
  <c r="N334" i="2"/>
  <c r="L334" i="2"/>
  <c r="O334" i="2" s="1"/>
  <c r="K334" i="2"/>
  <c r="J334" i="2"/>
  <c r="C334" i="2"/>
  <c r="N333" i="2"/>
  <c r="L333" i="2"/>
  <c r="O333" i="2" s="1"/>
  <c r="K333" i="2"/>
  <c r="J333" i="2"/>
  <c r="C333" i="2"/>
  <c r="N332" i="2"/>
  <c r="L332" i="2"/>
  <c r="O332" i="2" s="1"/>
  <c r="K332" i="2"/>
  <c r="J332" i="2"/>
  <c r="C332" i="2"/>
  <c r="N331" i="2"/>
  <c r="L331" i="2"/>
  <c r="O331" i="2" s="1"/>
  <c r="K331" i="2"/>
  <c r="J331" i="2"/>
  <c r="C331" i="2"/>
  <c r="N330" i="2"/>
  <c r="L330" i="2"/>
  <c r="O330" i="2" s="1"/>
  <c r="K330" i="2"/>
  <c r="J330" i="2"/>
  <c r="C330" i="2"/>
  <c r="N329" i="2"/>
  <c r="L329" i="2"/>
  <c r="O329" i="2" s="1"/>
  <c r="K329" i="2"/>
  <c r="J329" i="2"/>
  <c r="C329" i="2"/>
  <c r="N328" i="2"/>
  <c r="L328" i="2"/>
  <c r="O328" i="2" s="1"/>
  <c r="K328" i="2"/>
  <c r="J328" i="2"/>
  <c r="C328" i="2"/>
  <c r="N327" i="2"/>
  <c r="L327" i="2"/>
  <c r="O327" i="2" s="1"/>
  <c r="K327" i="2"/>
  <c r="J327" i="2"/>
  <c r="C327" i="2"/>
  <c r="N326" i="2"/>
  <c r="L326" i="2"/>
  <c r="O326" i="2" s="1"/>
  <c r="K326" i="2"/>
  <c r="J326" i="2"/>
  <c r="C326" i="2"/>
  <c r="N325" i="2"/>
  <c r="L325" i="2"/>
  <c r="O325" i="2" s="1"/>
  <c r="K325" i="2"/>
  <c r="J325" i="2"/>
  <c r="C325" i="2"/>
  <c r="N324" i="2"/>
  <c r="L324" i="2"/>
  <c r="O324" i="2" s="1"/>
  <c r="K324" i="2"/>
  <c r="J324" i="2"/>
  <c r="C324" i="2"/>
  <c r="N323" i="2"/>
  <c r="L323" i="2"/>
  <c r="O323" i="2" s="1"/>
  <c r="K323" i="2"/>
  <c r="J323" i="2"/>
  <c r="C323" i="2"/>
  <c r="N322" i="2"/>
  <c r="L322" i="2"/>
  <c r="O322" i="2" s="1"/>
  <c r="K322" i="2"/>
  <c r="J322" i="2"/>
  <c r="C322" i="2"/>
  <c r="N321" i="2"/>
  <c r="L321" i="2"/>
  <c r="O321" i="2" s="1"/>
  <c r="K321" i="2"/>
  <c r="J321" i="2"/>
  <c r="C321" i="2"/>
  <c r="N320" i="2"/>
  <c r="L320" i="2"/>
  <c r="O320" i="2" s="1"/>
  <c r="K320" i="2"/>
  <c r="J320" i="2"/>
  <c r="C320" i="2"/>
  <c r="N319" i="2"/>
  <c r="L319" i="2"/>
  <c r="O319" i="2" s="1"/>
  <c r="K319" i="2"/>
  <c r="J319" i="2"/>
  <c r="C319" i="2"/>
  <c r="N318" i="2"/>
  <c r="L318" i="2"/>
  <c r="O318" i="2" s="1"/>
  <c r="K318" i="2"/>
  <c r="J318" i="2"/>
  <c r="C318" i="2"/>
  <c r="N317" i="2"/>
  <c r="L317" i="2"/>
  <c r="O317" i="2" s="1"/>
  <c r="K317" i="2"/>
  <c r="J317" i="2"/>
  <c r="C317" i="2"/>
  <c r="N316" i="2"/>
  <c r="L316" i="2"/>
  <c r="O316" i="2" s="1"/>
  <c r="K316" i="2"/>
  <c r="J316" i="2"/>
  <c r="C316" i="2"/>
  <c r="N315" i="2"/>
  <c r="L315" i="2"/>
  <c r="O315" i="2" s="1"/>
  <c r="K315" i="2"/>
  <c r="J315" i="2"/>
  <c r="C315" i="2"/>
  <c r="N314" i="2"/>
  <c r="L314" i="2"/>
  <c r="O314" i="2" s="1"/>
  <c r="K314" i="2"/>
  <c r="J314" i="2"/>
  <c r="C314" i="2"/>
  <c r="N313" i="2"/>
  <c r="L313" i="2"/>
  <c r="O313" i="2" s="1"/>
  <c r="K313" i="2"/>
  <c r="J313" i="2"/>
  <c r="C313" i="2"/>
  <c r="N312" i="2"/>
  <c r="L312" i="2"/>
  <c r="O312" i="2" s="1"/>
  <c r="K312" i="2"/>
  <c r="J312" i="2"/>
  <c r="C312" i="2"/>
  <c r="N311" i="2"/>
  <c r="L311" i="2"/>
  <c r="O311" i="2" s="1"/>
  <c r="K311" i="2"/>
  <c r="J311" i="2"/>
  <c r="C311" i="2"/>
  <c r="N310" i="2"/>
  <c r="L310" i="2"/>
  <c r="O310" i="2" s="1"/>
  <c r="K310" i="2"/>
  <c r="J310" i="2"/>
  <c r="C310" i="2"/>
  <c r="N309" i="2"/>
  <c r="L309" i="2"/>
  <c r="O309" i="2" s="1"/>
  <c r="K309" i="2"/>
  <c r="J309" i="2"/>
  <c r="C309" i="2"/>
  <c r="N308" i="2"/>
  <c r="L308" i="2"/>
  <c r="O308" i="2" s="1"/>
  <c r="K308" i="2"/>
  <c r="J308" i="2"/>
  <c r="C308" i="2"/>
  <c r="N307" i="2"/>
  <c r="L307" i="2"/>
  <c r="O307" i="2" s="1"/>
  <c r="K307" i="2"/>
  <c r="J307" i="2"/>
  <c r="C307" i="2"/>
  <c r="N306" i="2"/>
  <c r="L306" i="2"/>
  <c r="O306" i="2" s="1"/>
  <c r="K306" i="2"/>
  <c r="J306" i="2"/>
  <c r="C306" i="2"/>
  <c r="N305" i="2"/>
  <c r="L305" i="2"/>
  <c r="O305" i="2" s="1"/>
  <c r="K305" i="2"/>
  <c r="J305" i="2"/>
  <c r="C305" i="2"/>
  <c r="N304" i="2"/>
  <c r="L304" i="2"/>
  <c r="O304" i="2" s="1"/>
  <c r="K304" i="2"/>
  <c r="J304" i="2"/>
  <c r="C304" i="2"/>
  <c r="N303" i="2"/>
  <c r="L303" i="2"/>
  <c r="O303" i="2" s="1"/>
  <c r="K303" i="2"/>
  <c r="J303" i="2"/>
  <c r="C303" i="2"/>
  <c r="N302" i="2"/>
  <c r="L302" i="2"/>
  <c r="O302" i="2" s="1"/>
  <c r="K302" i="2"/>
  <c r="J302" i="2"/>
  <c r="C302" i="2"/>
  <c r="N301" i="2"/>
  <c r="L301" i="2"/>
  <c r="O301" i="2" s="1"/>
  <c r="K301" i="2"/>
  <c r="J301" i="2"/>
  <c r="C301" i="2"/>
  <c r="N300" i="2"/>
  <c r="L300" i="2"/>
  <c r="O300" i="2" s="1"/>
  <c r="K300" i="2"/>
  <c r="J300" i="2"/>
  <c r="C300" i="2"/>
  <c r="N299" i="2"/>
  <c r="L299" i="2"/>
  <c r="O299" i="2" s="1"/>
  <c r="K299" i="2"/>
  <c r="J299" i="2"/>
  <c r="C299" i="2"/>
  <c r="N298" i="2"/>
  <c r="L298" i="2"/>
  <c r="O298" i="2" s="1"/>
  <c r="K298" i="2"/>
  <c r="J298" i="2"/>
  <c r="C298" i="2"/>
  <c r="N297" i="2"/>
  <c r="L297" i="2"/>
  <c r="O297" i="2" s="1"/>
  <c r="K297" i="2"/>
  <c r="J297" i="2"/>
  <c r="C297" i="2"/>
  <c r="N296" i="2"/>
  <c r="L296" i="2"/>
  <c r="O296" i="2" s="1"/>
  <c r="K296" i="2"/>
  <c r="J296" i="2"/>
  <c r="C296" i="2"/>
  <c r="N295" i="2"/>
  <c r="L295" i="2"/>
  <c r="O295" i="2" s="1"/>
  <c r="K295" i="2"/>
  <c r="J295" i="2"/>
  <c r="C295" i="2"/>
  <c r="N294" i="2"/>
  <c r="L294" i="2"/>
  <c r="O294" i="2" s="1"/>
  <c r="K294" i="2"/>
  <c r="J294" i="2"/>
  <c r="C294" i="2"/>
  <c r="N293" i="2"/>
  <c r="L293" i="2"/>
  <c r="O293" i="2" s="1"/>
  <c r="K293" i="2"/>
  <c r="J293" i="2"/>
  <c r="C293" i="2"/>
  <c r="N292" i="2"/>
  <c r="L292" i="2"/>
  <c r="O292" i="2" s="1"/>
  <c r="K292" i="2"/>
  <c r="J292" i="2"/>
  <c r="C292" i="2"/>
  <c r="N291" i="2"/>
  <c r="L291" i="2"/>
  <c r="O291" i="2" s="1"/>
  <c r="K291" i="2"/>
  <c r="J291" i="2"/>
  <c r="C291" i="2"/>
  <c r="N290" i="2"/>
  <c r="L290" i="2"/>
  <c r="O290" i="2" s="1"/>
  <c r="K290" i="2"/>
  <c r="J290" i="2"/>
  <c r="C290" i="2"/>
  <c r="N289" i="2"/>
  <c r="L289" i="2"/>
  <c r="O289" i="2" s="1"/>
  <c r="K289" i="2"/>
  <c r="J289" i="2"/>
  <c r="C289" i="2"/>
  <c r="N288" i="2"/>
  <c r="L288" i="2"/>
  <c r="O288" i="2" s="1"/>
  <c r="K288" i="2"/>
  <c r="J288" i="2"/>
  <c r="C288" i="2"/>
  <c r="N287" i="2"/>
  <c r="L287" i="2"/>
  <c r="O287" i="2" s="1"/>
  <c r="K287" i="2"/>
  <c r="J287" i="2"/>
  <c r="C287" i="2"/>
  <c r="N286" i="2"/>
  <c r="L286" i="2"/>
  <c r="O286" i="2" s="1"/>
  <c r="K286" i="2"/>
  <c r="J286" i="2"/>
  <c r="C286" i="2"/>
  <c r="N285" i="2"/>
  <c r="L285" i="2"/>
  <c r="O285" i="2" s="1"/>
  <c r="K285" i="2"/>
  <c r="J285" i="2"/>
  <c r="C285" i="2"/>
  <c r="N284" i="2"/>
  <c r="L284" i="2"/>
  <c r="O284" i="2" s="1"/>
  <c r="K284" i="2"/>
  <c r="J284" i="2"/>
  <c r="C284" i="2"/>
  <c r="N283" i="2"/>
  <c r="L283" i="2"/>
  <c r="O283" i="2" s="1"/>
  <c r="K283" i="2"/>
  <c r="J283" i="2"/>
  <c r="C283" i="2"/>
  <c r="N282" i="2"/>
  <c r="L282" i="2"/>
  <c r="O282" i="2" s="1"/>
  <c r="K282" i="2"/>
  <c r="J282" i="2"/>
  <c r="C282" i="2"/>
  <c r="N281" i="2"/>
  <c r="L281" i="2"/>
  <c r="O281" i="2" s="1"/>
  <c r="K281" i="2"/>
  <c r="J281" i="2"/>
  <c r="C281" i="2"/>
  <c r="N280" i="2"/>
  <c r="L280" i="2"/>
  <c r="O280" i="2" s="1"/>
  <c r="K280" i="2"/>
  <c r="J280" i="2"/>
  <c r="C280" i="2"/>
  <c r="N279" i="2"/>
  <c r="L279" i="2"/>
  <c r="O279" i="2" s="1"/>
  <c r="K279" i="2"/>
  <c r="J279" i="2"/>
  <c r="C279" i="2"/>
  <c r="N278" i="2"/>
  <c r="L278" i="2"/>
  <c r="O278" i="2" s="1"/>
  <c r="K278" i="2"/>
  <c r="J278" i="2"/>
  <c r="C278" i="2"/>
  <c r="N277" i="2"/>
  <c r="L277" i="2"/>
  <c r="O277" i="2" s="1"/>
  <c r="K277" i="2"/>
  <c r="J277" i="2"/>
  <c r="C277" i="2"/>
  <c r="N276" i="2"/>
  <c r="L276" i="2"/>
  <c r="O276" i="2" s="1"/>
  <c r="K276" i="2"/>
  <c r="J276" i="2"/>
  <c r="C276" i="2"/>
  <c r="N275" i="2"/>
  <c r="L275" i="2"/>
  <c r="O275" i="2" s="1"/>
  <c r="K275" i="2"/>
  <c r="J275" i="2"/>
  <c r="C275" i="2"/>
  <c r="N274" i="2"/>
  <c r="L274" i="2"/>
  <c r="O274" i="2" s="1"/>
  <c r="K274" i="2"/>
  <c r="J274" i="2"/>
  <c r="C274" i="2"/>
  <c r="N273" i="2"/>
  <c r="L273" i="2"/>
  <c r="O273" i="2" s="1"/>
  <c r="K273" i="2"/>
  <c r="J273" i="2"/>
  <c r="C273" i="2"/>
  <c r="N272" i="2"/>
  <c r="L272" i="2"/>
  <c r="O272" i="2" s="1"/>
  <c r="K272" i="2"/>
  <c r="J272" i="2"/>
  <c r="C272" i="2"/>
  <c r="N271" i="2"/>
  <c r="L271" i="2"/>
  <c r="O271" i="2" s="1"/>
  <c r="K271" i="2"/>
  <c r="J271" i="2"/>
  <c r="C271" i="2"/>
  <c r="N270" i="2"/>
  <c r="L270" i="2"/>
  <c r="O270" i="2" s="1"/>
  <c r="K270" i="2"/>
  <c r="J270" i="2"/>
  <c r="C270" i="2"/>
  <c r="N269" i="2"/>
  <c r="L269" i="2"/>
  <c r="O269" i="2" s="1"/>
  <c r="K269" i="2"/>
  <c r="J269" i="2"/>
  <c r="C269" i="2"/>
  <c r="N268" i="2"/>
  <c r="L268" i="2"/>
  <c r="O268" i="2" s="1"/>
  <c r="K268" i="2"/>
  <c r="J268" i="2"/>
  <c r="C268" i="2"/>
  <c r="N267" i="2"/>
  <c r="L267" i="2"/>
  <c r="O267" i="2" s="1"/>
  <c r="K267" i="2"/>
  <c r="J267" i="2"/>
  <c r="C267" i="2"/>
  <c r="N266" i="2"/>
  <c r="L266" i="2"/>
  <c r="O266" i="2" s="1"/>
  <c r="K266" i="2"/>
  <c r="J266" i="2"/>
  <c r="C266" i="2"/>
  <c r="N265" i="2"/>
  <c r="L265" i="2"/>
  <c r="O265" i="2" s="1"/>
  <c r="K265" i="2"/>
  <c r="J265" i="2"/>
  <c r="C265" i="2"/>
  <c r="N264" i="2"/>
  <c r="L264" i="2"/>
  <c r="O264" i="2" s="1"/>
  <c r="K264" i="2"/>
  <c r="J264" i="2"/>
  <c r="C264" i="2"/>
  <c r="N263" i="2"/>
  <c r="L263" i="2"/>
  <c r="O263" i="2" s="1"/>
  <c r="K263" i="2"/>
  <c r="J263" i="2"/>
  <c r="C263" i="2"/>
  <c r="N262" i="2"/>
  <c r="L262" i="2"/>
  <c r="O262" i="2" s="1"/>
  <c r="K262" i="2"/>
  <c r="J262" i="2"/>
  <c r="C262" i="2"/>
  <c r="N261" i="2"/>
  <c r="L261" i="2"/>
  <c r="O261" i="2" s="1"/>
  <c r="K261" i="2"/>
  <c r="J261" i="2"/>
  <c r="C261" i="2"/>
  <c r="N260" i="2"/>
  <c r="L260" i="2"/>
  <c r="O260" i="2" s="1"/>
  <c r="K260" i="2"/>
  <c r="J260" i="2"/>
  <c r="C260" i="2"/>
  <c r="N259" i="2"/>
  <c r="L259" i="2"/>
  <c r="O259" i="2" s="1"/>
  <c r="K259" i="2"/>
  <c r="J259" i="2"/>
  <c r="C259" i="2"/>
  <c r="N258" i="2"/>
  <c r="L258" i="2"/>
  <c r="O258" i="2" s="1"/>
  <c r="K258" i="2"/>
  <c r="J258" i="2"/>
  <c r="C258" i="2"/>
  <c r="N257" i="2"/>
  <c r="L257" i="2"/>
  <c r="O257" i="2" s="1"/>
  <c r="K257" i="2"/>
  <c r="J257" i="2"/>
  <c r="C257" i="2"/>
  <c r="N256" i="2"/>
  <c r="L256" i="2"/>
  <c r="O256" i="2" s="1"/>
  <c r="K256" i="2"/>
  <c r="J256" i="2"/>
  <c r="C256" i="2"/>
  <c r="N255" i="2"/>
  <c r="L255" i="2"/>
  <c r="O255" i="2" s="1"/>
  <c r="K255" i="2"/>
  <c r="J255" i="2"/>
  <c r="C255" i="2"/>
  <c r="N254" i="2"/>
  <c r="L254" i="2"/>
  <c r="O254" i="2" s="1"/>
  <c r="K254" i="2"/>
  <c r="J254" i="2"/>
  <c r="C254" i="2"/>
  <c r="N253" i="2"/>
  <c r="L253" i="2"/>
  <c r="O253" i="2" s="1"/>
  <c r="K253" i="2"/>
  <c r="J253" i="2"/>
  <c r="C253" i="2"/>
  <c r="N252" i="2"/>
  <c r="L252" i="2"/>
  <c r="O252" i="2" s="1"/>
  <c r="K252" i="2"/>
  <c r="J252" i="2"/>
  <c r="C252" i="2"/>
  <c r="N251" i="2"/>
  <c r="L251" i="2"/>
  <c r="O251" i="2" s="1"/>
  <c r="K251" i="2"/>
  <c r="J251" i="2"/>
  <c r="C251" i="2"/>
  <c r="N250" i="2"/>
  <c r="L250" i="2"/>
  <c r="O250" i="2" s="1"/>
  <c r="K250" i="2"/>
  <c r="J250" i="2"/>
  <c r="C250" i="2"/>
  <c r="N249" i="2"/>
  <c r="L249" i="2"/>
  <c r="O249" i="2" s="1"/>
  <c r="K249" i="2"/>
  <c r="J249" i="2"/>
  <c r="C249" i="2"/>
  <c r="N248" i="2"/>
  <c r="L248" i="2"/>
  <c r="O248" i="2" s="1"/>
  <c r="K248" i="2"/>
  <c r="J248" i="2"/>
  <c r="C248" i="2"/>
  <c r="N247" i="2"/>
  <c r="L247" i="2"/>
  <c r="O247" i="2" s="1"/>
  <c r="K247" i="2"/>
  <c r="J247" i="2"/>
  <c r="C247" i="2"/>
  <c r="N246" i="2"/>
  <c r="L246" i="2"/>
  <c r="O246" i="2" s="1"/>
  <c r="K246" i="2"/>
  <c r="J246" i="2"/>
  <c r="C246" i="2"/>
  <c r="N245" i="2"/>
  <c r="L245" i="2"/>
  <c r="O245" i="2" s="1"/>
  <c r="K245" i="2"/>
  <c r="J245" i="2"/>
  <c r="C245" i="2"/>
  <c r="N244" i="2"/>
  <c r="L244" i="2"/>
  <c r="O244" i="2" s="1"/>
  <c r="K244" i="2"/>
  <c r="J244" i="2"/>
  <c r="C244" i="2"/>
  <c r="N243" i="2"/>
  <c r="L243" i="2"/>
  <c r="O243" i="2" s="1"/>
  <c r="K243" i="2"/>
  <c r="J243" i="2"/>
  <c r="C243" i="2"/>
  <c r="N242" i="2"/>
  <c r="L242" i="2"/>
  <c r="O242" i="2" s="1"/>
  <c r="K242" i="2"/>
  <c r="J242" i="2"/>
  <c r="C242" i="2"/>
  <c r="N241" i="2"/>
  <c r="L241" i="2"/>
  <c r="O241" i="2" s="1"/>
  <c r="K241" i="2"/>
  <c r="J241" i="2"/>
  <c r="C241" i="2"/>
  <c r="N240" i="2"/>
  <c r="L240" i="2"/>
  <c r="O240" i="2" s="1"/>
  <c r="K240" i="2"/>
  <c r="J240" i="2"/>
  <c r="C240" i="2"/>
  <c r="N239" i="2"/>
  <c r="L239" i="2"/>
  <c r="O239" i="2" s="1"/>
  <c r="K239" i="2"/>
  <c r="J239" i="2"/>
  <c r="C239" i="2"/>
  <c r="N238" i="2"/>
  <c r="L238" i="2"/>
  <c r="O238" i="2" s="1"/>
  <c r="K238" i="2"/>
  <c r="J238" i="2"/>
  <c r="C238" i="2"/>
  <c r="N237" i="2"/>
  <c r="L237" i="2"/>
  <c r="O237" i="2" s="1"/>
  <c r="K237" i="2"/>
  <c r="J237" i="2"/>
  <c r="C237" i="2"/>
  <c r="N236" i="2"/>
  <c r="L236" i="2"/>
  <c r="O236" i="2" s="1"/>
  <c r="K236" i="2"/>
  <c r="J236" i="2"/>
  <c r="C236" i="2"/>
  <c r="N235" i="2"/>
  <c r="L235" i="2"/>
  <c r="O235" i="2" s="1"/>
  <c r="K235" i="2"/>
  <c r="J235" i="2"/>
  <c r="C235" i="2"/>
  <c r="N234" i="2"/>
  <c r="L234" i="2"/>
  <c r="O234" i="2" s="1"/>
  <c r="K234" i="2"/>
  <c r="J234" i="2"/>
  <c r="C234" i="2"/>
  <c r="N233" i="2"/>
  <c r="L233" i="2"/>
  <c r="O233" i="2" s="1"/>
  <c r="K233" i="2"/>
  <c r="J233" i="2"/>
  <c r="C233" i="2"/>
  <c r="N232" i="2"/>
  <c r="L232" i="2"/>
  <c r="O232" i="2" s="1"/>
  <c r="K232" i="2"/>
  <c r="J232" i="2"/>
  <c r="C232" i="2"/>
  <c r="N231" i="2"/>
  <c r="L231" i="2"/>
  <c r="O231" i="2" s="1"/>
  <c r="K231" i="2"/>
  <c r="J231" i="2"/>
  <c r="C231" i="2"/>
  <c r="N230" i="2"/>
  <c r="L230" i="2"/>
  <c r="O230" i="2" s="1"/>
  <c r="K230" i="2"/>
  <c r="J230" i="2"/>
  <c r="C230" i="2"/>
  <c r="N229" i="2"/>
  <c r="L229" i="2"/>
  <c r="O229" i="2" s="1"/>
  <c r="K229" i="2"/>
  <c r="J229" i="2"/>
  <c r="C229" i="2"/>
  <c r="N228" i="2"/>
  <c r="L228" i="2"/>
  <c r="O228" i="2" s="1"/>
  <c r="K228" i="2"/>
  <c r="J228" i="2"/>
  <c r="C228" i="2"/>
  <c r="N227" i="2"/>
  <c r="L227" i="2"/>
  <c r="O227" i="2" s="1"/>
  <c r="K227" i="2"/>
  <c r="J227" i="2"/>
  <c r="C227" i="2"/>
  <c r="N226" i="2"/>
  <c r="L226" i="2"/>
  <c r="O226" i="2" s="1"/>
  <c r="K226" i="2"/>
  <c r="J226" i="2"/>
  <c r="C226" i="2"/>
  <c r="N225" i="2"/>
  <c r="L225" i="2"/>
  <c r="O225" i="2" s="1"/>
  <c r="K225" i="2"/>
  <c r="J225" i="2"/>
  <c r="C225" i="2"/>
  <c r="N224" i="2"/>
  <c r="L224" i="2"/>
  <c r="O224" i="2" s="1"/>
  <c r="K224" i="2"/>
  <c r="J224" i="2"/>
  <c r="C224" i="2"/>
  <c r="N223" i="2"/>
  <c r="L223" i="2"/>
  <c r="O223" i="2" s="1"/>
  <c r="K223" i="2"/>
  <c r="J223" i="2"/>
  <c r="C223" i="2"/>
  <c r="N222" i="2"/>
  <c r="L222" i="2"/>
  <c r="O222" i="2" s="1"/>
  <c r="K222" i="2"/>
  <c r="J222" i="2"/>
  <c r="C222" i="2"/>
  <c r="N221" i="2"/>
  <c r="L221" i="2"/>
  <c r="O221" i="2" s="1"/>
  <c r="K221" i="2"/>
  <c r="J221" i="2"/>
  <c r="C221" i="2"/>
  <c r="N220" i="2"/>
  <c r="L220" i="2"/>
  <c r="O220" i="2" s="1"/>
  <c r="K220" i="2"/>
  <c r="J220" i="2"/>
  <c r="C220" i="2"/>
  <c r="N219" i="2"/>
  <c r="L219" i="2"/>
  <c r="O219" i="2" s="1"/>
  <c r="K219" i="2"/>
  <c r="J219" i="2"/>
  <c r="C219" i="2"/>
  <c r="N218" i="2"/>
  <c r="L218" i="2"/>
  <c r="O218" i="2" s="1"/>
  <c r="K218" i="2"/>
  <c r="J218" i="2"/>
  <c r="C218" i="2"/>
  <c r="N217" i="2"/>
  <c r="L217" i="2"/>
  <c r="O217" i="2" s="1"/>
  <c r="K217" i="2"/>
  <c r="J217" i="2"/>
  <c r="C217" i="2"/>
  <c r="N216" i="2"/>
  <c r="L216" i="2"/>
  <c r="O216" i="2" s="1"/>
  <c r="K216" i="2"/>
  <c r="J216" i="2"/>
  <c r="C216" i="2"/>
  <c r="N215" i="2"/>
  <c r="L215" i="2"/>
  <c r="O215" i="2" s="1"/>
  <c r="K215" i="2"/>
  <c r="J215" i="2"/>
  <c r="C215" i="2"/>
  <c r="N214" i="2"/>
  <c r="L214" i="2"/>
  <c r="O214" i="2" s="1"/>
  <c r="K214" i="2"/>
  <c r="J214" i="2"/>
  <c r="C214" i="2"/>
  <c r="N213" i="2"/>
  <c r="L213" i="2"/>
  <c r="O213" i="2" s="1"/>
  <c r="K213" i="2"/>
  <c r="J213" i="2"/>
  <c r="C213" i="2"/>
  <c r="N212" i="2"/>
  <c r="L212" i="2"/>
  <c r="O212" i="2" s="1"/>
  <c r="K212" i="2"/>
  <c r="J212" i="2"/>
  <c r="C212" i="2"/>
  <c r="N211" i="2"/>
  <c r="L211" i="2"/>
  <c r="O211" i="2" s="1"/>
  <c r="K211" i="2"/>
  <c r="J211" i="2"/>
  <c r="C211" i="2"/>
  <c r="N210" i="2"/>
  <c r="L210" i="2"/>
  <c r="O210" i="2" s="1"/>
  <c r="K210" i="2"/>
  <c r="J210" i="2"/>
  <c r="C210" i="2"/>
  <c r="N209" i="2"/>
  <c r="L209" i="2"/>
  <c r="O209" i="2" s="1"/>
  <c r="K209" i="2"/>
  <c r="J209" i="2"/>
  <c r="C209" i="2"/>
  <c r="N208" i="2"/>
  <c r="L208" i="2"/>
  <c r="O208" i="2" s="1"/>
  <c r="K208" i="2"/>
  <c r="J208" i="2"/>
  <c r="C208" i="2"/>
  <c r="N207" i="2"/>
  <c r="L207" i="2"/>
  <c r="O207" i="2" s="1"/>
  <c r="K207" i="2"/>
  <c r="J207" i="2"/>
  <c r="C207" i="2"/>
  <c r="N206" i="2"/>
  <c r="L206" i="2"/>
  <c r="O206" i="2" s="1"/>
  <c r="K206" i="2"/>
  <c r="J206" i="2"/>
  <c r="C206" i="2"/>
  <c r="N205" i="2"/>
  <c r="L205" i="2"/>
  <c r="O205" i="2" s="1"/>
  <c r="K205" i="2"/>
  <c r="J205" i="2"/>
  <c r="C205" i="2"/>
  <c r="N204" i="2"/>
  <c r="L204" i="2"/>
  <c r="O204" i="2" s="1"/>
  <c r="K204" i="2"/>
  <c r="J204" i="2"/>
  <c r="C204" i="2"/>
  <c r="N203" i="2"/>
  <c r="L203" i="2"/>
  <c r="O203" i="2" s="1"/>
  <c r="K203" i="2"/>
  <c r="J203" i="2"/>
  <c r="C203" i="2"/>
  <c r="N202" i="2"/>
  <c r="L202" i="2"/>
  <c r="O202" i="2" s="1"/>
  <c r="K202" i="2"/>
  <c r="J202" i="2"/>
  <c r="C202" i="2"/>
  <c r="N201" i="2"/>
  <c r="L201" i="2"/>
  <c r="O201" i="2" s="1"/>
  <c r="K201" i="2"/>
  <c r="J201" i="2"/>
  <c r="C201" i="2"/>
  <c r="N200" i="2"/>
  <c r="L200" i="2"/>
  <c r="O200" i="2" s="1"/>
  <c r="K200" i="2"/>
  <c r="J200" i="2"/>
  <c r="C200" i="2"/>
  <c r="N199" i="2"/>
  <c r="L199" i="2"/>
  <c r="O199" i="2" s="1"/>
  <c r="K199" i="2"/>
  <c r="J199" i="2"/>
  <c r="C199" i="2"/>
  <c r="N198" i="2"/>
  <c r="L198" i="2"/>
  <c r="O198" i="2" s="1"/>
  <c r="K198" i="2"/>
  <c r="J198" i="2"/>
  <c r="C198" i="2"/>
  <c r="N197" i="2"/>
  <c r="L197" i="2"/>
  <c r="O197" i="2" s="1"/>
  <c r="K197" i="2"/>
  <c r="J197" i="2"/>
  <c r="C197" i="2"/>
  <c r="N196" i="2"/>
  <c r="L196" i="2"/>
  <c r="O196" i="2" s="1"/>
  <c r="K196" i="2"/>
  <c r="J196" i="2"/>
  <c r="C196" i="2"/>
  <c r="N195" i="2"/>
  <c r="L195" i="2"/>
  <c r="O195" i="2" s="1"/>
  <c r="K195" i="2"/>
  <c r="J195" i="2"/>
  <c r="C195" i="2"/>
  <c r="N194" i="2"/>
  <c r="L194" i="2"/>
  <c r="O194" i="2" s="1"/>
  <c r="K194" i="2"/>
  <c r="J194" i="2"/>
  <c r="C194" i="2"/>
  <c r="N193" i="2"/>
  <c r="L193" i="2"/>
  <c r="O193" i="2" s="1"/>
  <c r="K193" i="2"/>
  <c r="J193" i="2"/>
  <c r="C193" i="2"/>
  <c r="N192" i="2"/>
  <c r="L192" i="2"/>
  <c r="O192" i="2" s="1"/>
  <c r="K192" i="2"/>
  <c r="J192" i="2"/>
  <c r="C192" i="2"/>
  <c r="N191" i="2"/>
  <c r="L191" i="2"/>
  <c r="O191" i="2" s="1"/>
  <c r="K191" i="2"/>
  <c r="J191" i="2"/>
  <c r="C191" i="2"/>
  <c r="N190" i="2"/>
  <c r="L190" i="2"/>
  <c r="O190" i="2" s="1"/>
  <c r="K190" i="2"/>
  <c r="J190" i="2"/>
  <c r="C190" i="2"/>
  <c r="N189" i="2"/>
  <c r="L189" i="2"/>
  <c r="O189" i="2" s="1"/>
  <c r="K189" i="2"/>
  <c r="J189" i="2"/>
  <c r="C189" i="2"/>
  <c r="N188" i="2"/>
  <c r="L188" i="2"/>
  <c r="O188" i="2" s="1"/>
  <c r="K188" i="2"/>
  <c r="J188" i="2"/>
  <c r="C188" i="2"/>
  <c r="N187" i="2"/>
  <c r="L187" i="2"/>
  <c r="O187" i="2" s="1"/>
  <c r="K187" i="2"/>
  <c r="J187" i="2"/>
  <c r="C187" i="2"/>
  <c r="N186" i="2"/>
  <c r="L186" i="2"/>
  <c r="O186" i="2" s="1"/>
  <c r="K186" i="2"/>
  <c r="J186" i="2"/>
  <c r="C186" i="2"/>
  <c r="N185" i="2"/>
  <c r="L185" i="2"/>
  <c r="O185" i="2" s="1"/>
  <c r="K185" i="2"/>
  <c r="J185" i="2"/>
  <c r="C185" i="2"/>
  <c r="N184" i="2"/>
  <c r="L184" i="2"/>
  <c r="O184" i="2" s="1"/>
  <c r="K184" i="2"/>
  <c r="J184" i="2"/>
  <c r="C184" i="2"/>
  <c r="N183" i="2"/>
  <c r="L183" i="2"/>
  <c r="O183" i="2" s="1"/>
  <c r="K183" i="2"/>
  <c r="J183" i="2"/>
  <c r="C183" i="2"/>
  <c r="N182" i="2"/>
  <c r="L182" i="2"/>
  <c r="O182" i="2" s="1"/>
  <c r="K182" i="2"/>
  <c r="J182" i="2"/>
  <c r="C182" i="2"/>
  <c r="N181" i="2"/>
  <c r="L181" i="2"/>
  <c r="O181" i="2" s="1"/>
  <c r="K181" i="2"/>
  <c r="J181" i="2"/>
  <c r="C181" i="2"/>
  <c r="N180" i="2"/>
  <c r="L180" i="2"/>
  <c r="O180" i="2" s="1"/>
  <c r="K180" i="2"/>
  <c r="J180" i="2"/>
  <c r="C180" i="2"/>
  <c r="N179" i="2"/>
  <c r="L179" i="2"/>
  <c r="O179" i="2" s="1"/>
  <c r="K179" i="2"/>
  <c r="J179" i="2"/>
  <c r="C179" i="2"/>
  <c r="N178" i="2"/>
  <c r="L178" i="2"/>
  <c r="O178" i="2" s="1"/>
  <c r="K178" i="2"/>
  <c r="J178" i="2"/>
  <c r="C178" i="2"/>
  <c r="N177" i="2"/>
  <c r="L177" i="2"/>
  <c r="O177" i="2" s="1"/>
  <c r="K177" i="2"/>
  <c r="J177" i="2"/>
  <c r="C177" i="2"/>
  <c r="N176" i="2"/>
  <c r="L176" i="2"/>
  <c r="O176" i="2" s="1"/>
  <c r="K176" i="2"/>
  <c r="J176" i="2"/>
  <c r="C176" i="2"/>
  <c r="N175" i="2"/>
  <c r="L175" i="2"/>
  <c r="O175" i="2" s="1"/>
  <c r="K175" i="2"/>
  <c r="J175" i="2"/>
  <c r="C175" i="2"/>
  <c r="N174" i="2"/>
  <c r="L174" i="2"/>
  <c r="O174" i="2" s="1"/>
  <c r="K174" i="2"/>
  <c r="J174" i="2"/>
  <c r="C174" i="2"/>
  <c r="N173" i="2"/>
  <c r="L173" i="2"/>
  <c r="O173" i="2" s="1"/>
  <c r="K173" i="2"/>
  <c r="J173" i="2"/>
  <c r="C173" i="2"/>
  <c r="N172" i="2"/>
  <c r="L172" i="2"/>
  <c r="O172" i="2" s="1"/>
  <c r="K172" i="2"/>
  <c r="J172" i="2"/>
  <c r="C172" i="2"/>
  <c r="N171" i="2"/>
  <c r="L171" i="2"/>
  <c r="O171" i="2" s="1"/>
  <c r="K171" i="2"/>
  <c r="J171" i="2"/>
  <c r="C171" i="2"/>
  <c r="N170" i="2"/>
  <c r="L170" i="2"/>
  <c r="O170" i="2" s="1"/>
  <c r="K170" i="2"/>
  <c r="J170" i="2"/>
  <c r="C170" i="2"/>
  <c r="N169" i="2"/>
  <c r="L169" i="2"/>
  <c r="O169" i="2" s="1"/>
  <c r="K169" i="2"/>
  <c r="J169" i="2"/>
  <c r="C169" i="2"/>
  <c r="N168" i="2"/>
  <c r="L168" i="2"/>
  <c r="O168" i="2" s="1"/>
  <c r="K168" i="2"/>
  <c r="J168" i="2"/>
  <c r="C168" i="2"/>
  <c r="N167" i="2"/>
  <c r="L167" i="2"/>
  <c r="O167" i="2" s="1"/>
  <c r="K167" i="2"/>
  <c r="J167" i="2"/>
  <c r="C167" i="2"/>
  <c r="N166" i="2"/>
  <c r="L166" i="2"/>
  <c r="O166" i="2" s="1"/>
  <c r="K166" i="2"/>
  <c r="J166" i="2"/>
  <c r="C166" i="2"/>
  <c r="N165" i="2"/>
  <c r="L165" i="2"/>
  <c r="O165" i="2" s="1"/>
  <c r="K165" i="2"/>
  <c r="J165" i="2"/>
  <c r="C165" i="2"/>
  <c r="N164" i="2"/>
  <c r="L164" i="2"/>
  <c r="O164" i="2" s="1"/>
  <c r="K164" i="2"/>
  <c r="J164" i="2"/>
  <c r="C164" i="2"/>
  <c r="N163" i="2"/>
  <c r="L163" i="2"/>
  <c r="O163" i="2" s="1"/>
  <c r="K163" i="2"/>
  <c r="J163" i="2"/>
  <c r="C163" i="2"/>
  <c r="N162" i="2"/>
  <c r="L162" i="2"/>
  <c r="O162" i="2" s="1"/>
  <c r="K162" i="2"/>
  <c r="J162" i="2"/>
  <c r="C162" i="2"/>
  <c r="N161" i="2"/>
  <c r="L161" i="2"/>
  <c r="O161" i="2" s="1"/>
  <c r="K161" i="2"/>
  <c r="J161" i="2"/>
  <c r="C161" i="2"/>
  <c r="N160" i="2"/>
  <c r="L160" i="2"/>
  <c r="O160" i="2" s="1"/>
  <c r="K160" i="2"/>
  <c r="J160" i="2"/>
  <c r="C160" i="2"/>
  <c r="N159" i="2"/>
  <c r="L159" i="2"/>
  <c r="O159" i="2" s="1"/>
  <c r="K159" i="2"/>
  <c r="J159" i="2"/>
  <c r="C159" i="2"/>
  <c r="N158" i="2"/>
  <c r="L158" i="2"/>
  <c r="O158" i="2" s="1"/>
  <c r="K158" i="2"/>
  <c r="J158" i="2"/>
  <c r="C158" i="2"/>
  <c r="N157" i="2"/>
  <c r="L157" i="2"/>
  <c r="O157" i="2" s="1"/>
  <c r="K157" i="2"/>
  <c r="J157" i="2"/>
  <c r="C157" i="2"/>
  <c r="N156" i="2"/>
  <c r="L156" i="2"/>
  <c r="O156" i="2" s="1"/>
  <c r="K156" i="2"/>
  <c r="J156" i="2"/>
  <c r="C156" i="2"/>
  <c r="N155" i="2"/>
  <c r="L155" i="2"/>
  <c r="O155" i="2" s="1"/>
  <c r="K155" i="2"/>
  <c r="J155" i="2"/>
  <c r="C155" i="2"/>
  <c r="N154" i="2"/>
  <c r="L154" i="2"/>
  <c r="O154" i="2" s="1"/>
  <c r="K154" i="2"/>
  <c r="J154" i="2"/>
  <c r="C154" i="2"/>
  <c r="N153" i="2"/>
  <c r="L153" i="2"/>
  <c r="O153" i="2" s="1"/>
  <c r="K153" i="2"/>
  <c r="J153" i="2"/>
  <c r="C153" i="2"/>
  <c r="N152" i="2"/>
  <c r="L152" i="2"/>
  <c r="O152" i="2" s="1"/>
  <c r="K152" i="2"/>
  <c r="J152" i="2"/>
  <c r="C152" i="2"/>
  <c r="N151" i="2"/>
  <c r="L151" i="2"/>
  <c r="O151" i="2" s="1"/>
  <c r="K151" i="2"/>
  <c r="J151" i="2"/>
  <c r="C151" i="2"/>
  <c r="N150" i="2"/>
  <c r="L150" i="2"/>
  <c r="O150" i="2" s="1"/>
  <c r="K150" i="2"/>
  <c r="J150" i="2"/>
  <c r="C150" i="2"/>
  <c r="N149" i="2"/>
  <c r="L149" i="2"/>
  <c r="O149" i="2" s="1"/>
  <c r="K149" i="2"/>
  <c r="J149" i="2"/>
  <c r="C149" i="2"/>
  <c r="N148" i="2"/>
  <c r="L148" i="2"/>
  <c r="O148" i="2" s="1"/>
  <c r="K148" i="2"/>
  <c r="J148" i="2"/>
  <c r="C148" i="2"/>
  <c r="N147" i="2"/>
  <c r="L147" i="2"/>
  <c r="O147" i="2" s="1"/>
  <c r="K147" i="2"/>
  <c r="J147" i="2"/>
  <c r="C147" i="2"/>
  <c r="N146" i="2"/>
  <c r="L146" i="2"/>
  <c r="O146" i="2" s="1"/>
  <c r="K146" i="2"/>
  <c r="J146" i="2"/>
  <c r="C146" i="2"/>
  <c r="N145" i="2"/>
  <c r="L145" i="2"/>
  <c r="O145" i="2" s="1"/>
  <c r="K145" i="2"/>
  <c r="J145" i="2"/>
  <c r="C145" i="2"/>
  <c r="N144" i="2"/>
  <c r="L144" i="2"/>
  <c r="O144" i="2" s="1"/>
  <c r="K144" i="2"/>
  <c r="J144" i="2"/>
  <c r="C144" i="2"/>
  <c r="N143" i="2"/>
  <c r="L143" i="2"/>
  <c r="O143" i="2" s="1"/>
  <c r="K143" i="2"/>
  <c r="J143" i="2"/>
  <c r="C143" i="2"/>
  <c r="N142" i="2"/>
  <c r="L142" i="2"/>
  <c r="O142" i="2" s="1"/>
  <c r="K142" i="2"/>
  <c r="J142" i="2"/>
  <c r="C142" i="2"/>
  <c r="N141" i="2"/>
  <c r="L141" i="2"/>
  <c r="O141" i="2" s="1"/>
  <c r="K141" i="2"/>
  <c r="J141" i="2"/>
  <c r="C141" i="2"/>
  <c r="N140" i="2"/>
  <c r="L140" i="2"/>
  <c r="O140" i="2" s="1"/>
  <c r="K140" i="2"/>
  <c r="J140" i="2"/>
  <c r="C140" i="2"/>
  <c r="N139" i="2"/>
  <c r="L139" i="2"/>
  <c r="O139" i="2" s="1"/>
  <c r="K139" i="2"/>
  <c r="J139" i="2"/>
  <c r="C139" i="2"/>
  <c r="N138" i="2"/>
  <c r="L138" i="2"/>
  <c r="O138" i="2" s="1"/>
  <c r="K138" i="2"/>
  <c r="J138" i="2"/>
  <c r="C138" i="2"/>
  <c r="N137" i="2"/>
  <c r="L137" i="2"/>
  <c r="O137" i="2" s="1"/>
  <c r="K137" i="2"/>
  <c r="J137" i="2"/>
  <c r="C137" i="2"/>
  <c r="N136" i="2"/>
  <c r="L136" i="2"/>
  <c r="O136" i="2" s="1"/>
  <c r="K136" i="2"/>
  <c r="J136" i="2"/>
  <c r="C136" i="2"/>
  <c r="N135" i="2"/>
  <c r="L135" i="2"/>
  <c r="O135" i="2" s="1"/>
  <c r="K135" i="2"/>
  <c r="J135" i="2"/>
  <c r="C135" i="2"/>
  <c r="N134" i="2"/>
  <c r="L134" i="2"/>
  <c r="O134" i="2" s="1"/>
  <c r="K134" i="2"/>
  <c r="J134" i="2"/>
  <c r="C134" i="2"/>
  <c r="N133" i="2"/>
  <c r="L133" i="2"/>
  <c r="O133" i="2" s="1"/>
  <c r="K133" i="2"/>
  <c r="J133" i="2"/>
  <c r="C133" i="2"/>
  <c r="N132" i="2"/>
  <c r="L132" i="2"/>
  <c r="O132" i="2" s="1"/>
  <c r="K132" i="2"/>
  <c r="J132" i="2"/>
  <c r="C132" i="2"/>
  <c r="N131" i="2"/>
  <c r="L131" i="2"/>
  <c r="O131" i="2" s="1"/>
  <c r="K131" i="2"/>
  <c r="J131" i="2"/>
  <c r="C131" i="2"/>
  <c r="N130" i="2"/>
  <c r="L130" i="2"/>
  <c r="O130" i="2" s="1"/>
  <c r="K130" i="2"/>
  <c r="J130" i="2"/>
  <c r="C130" i="2"/>
  <c r="N129" i="2"/>
  <c r="L129" i="2"/>
  <c r="O129" i="2" s="1"/>
  <c r="K129" i="2"/>
  <c r="J129" i="2"/>
  <c r="C129" i="2"/>
  <c r="N128" i="2"/>
  <c r="L128" i="2"/>
  <c r="O128" i="2" s="1"/>
  <c r="K128" i="2"/>
  <c r="J128" i="2"/>
  <c r="C128" i="2"/>
  <c r="N127" i="2"/>
  <c r="L127" i="2"/>
  <c r="O127" i="2" s="1"/>
  <c r="K127" i="2"/>
  <c r="J127" i="2"/>
  <c r="C127" i="2"/>
  <c r="N126" i="2"/>
  <c r="L126" i="2"/>
  <c r="O126" i="2" s="1"/>
  <c r="K126" i="2"/>
  <c r="J126" i="2"/>
  <c r="C126" i="2"/>
  <c r="N125" i="2"/>
  <c r="L125" i="2"/>
  <c r="O125" i="2" s="1"/>
  <c r="K125" i="2"/>
  <c r="J125" i="2"/>
  <c r="C125" i="2"/>
  <c r="N124" i="2"/>
  <c r="L124" i="2"/>
  <c r="O124" i="2" s="1"/>
  <c r="K124" i="2"/>
  <c r="J124" i="2"/>
  <c r="C124" i="2"/>
  <c r="N123" i="2"/>
  <c r="L123" i="2"/>
  <c r="O123" i="2" s="1"/>
  <c r="K123" i="2"/>
  <c r="J123" i="2"/>
  <c r="C123" i="2"/>
  <c r="N122" i="2"/>
  <c r="L122" i="2"/>
  <c r="O122" i="2" s="1"/>
  <c r="K122" i="2"/>
  <c r="J122" i="2"/>
  <c r="C122" i="2"/>
  <c r="N121" i="2"/>
  <c r="L121" i="2"/>
  <c r="O121" i="2" s="1"/>
  <c r="K121" i="2"/>
  <c r="J121" i="2"/>
  <c r="C121" i="2"/>
  <c r="N120" i="2"/>
  <c r="L120" i="2"/>
  <c r="O120" i="2" s="1"/>
  <c r="K120" i="2"/>
  <c r="J120" i="2"/>
  <c r="C120" i="2"/>
  <c r="N119" i="2"/>
  <c r="L119" i="2"/>
  <c r="O119" i="2" s="1"/>
  <c r="K119" i="2"/>
  <c r="J119" i="2"/>
  <c r="C119" i="2"/>
  <c r="N118" i="2"/>
  <c r="L118" i="2"/>
  <c r="O118" i="2" s="1"/>
  <c r="K118" i="2"/>
  <c r="J118" i="2"/>
  <c r="C118" i="2"/>
  <c r="N117" i="2"/>
  <c r="L117" i="2"/>
  <c r="O117" i="2" s="1"/>
  <c r="K117" i="2"/>
  <c r="J117" i="2"/>
  <c r="C117" i="2"/>
  <c r="N116" i="2"/>
  <c r="L116" i="2"/>
  <c r="O116" i="2" s="1"/>
  <c r="K116" i="2"/>
  <c r="J116" i="2"/>
  <c r="C116" i="2"/>
  <c r="N115" i="2"/>
  <c r="L115" i="2"/>
  <c r="O115" i="2" s="1"/>
  <c r="K115" i="2"/>
  <c r="J115" i="2"/>
  <c r="C115" i="2"/>
  <c r="N114" i="2"/>
  <c r="L114" i="2"/>
  <c r="O114" i="2" s="1"/>
  <c r="K114" i="2"/>
  <c r="J114" i="2"/>
  <c r="C114" i="2"/>
  <c r="N113" i="2"/>
  <c r="L113" i="2"/>
  <c r="O113" i="2" s="1"/>
  <c r="K113" i="2"/>
  <c r="J113" i="2"/>
  <c r="C113" i="2"/>
  <c r="N112" i="2"/>
  <c r="L112" i="2"/>
  <c r="O112" i="2" s="1"/>
  <c r="K112" i="2"/>
  <c r="J112" i="2"/>
  <c r="C112" i="2"/>
  <c r="N111" i="2"/>
  <c r="L111" i="2"/>
  <c r="O111" i="2" s="1"/>
  <c r="K111" i="2"/>
  <c r="J111" i="2"/>
  <c r="C111" i="2"/>
  <c r="N110" i="2"/>
  <c r="L110" i="2"/>
  <c r="O110" i="2" s="1"/>
  <c r="K110" i="2"/>
  <c r="J110" i="2"/>
  <c r="C110" i="2"/>
  <c r="N109" i="2"/>
  <c r="L109" i="2"/>
  <c r="O109" i="2" s="1"/>
  <c r="K109" i="2"/>
  <c r="J109" i="2"/>
  <c r="C109" i="2"/>
  <c r="N108" i="2"/>
  <c r="L108" i="2"/>
  <c r="O108" i="2" s="1"/>
  <c r="K108" i="2"/>
  <c r="J108" i="2"/>
  <c r="C108" i="2"/>
  <c r="N107" i="2"/>
  <c r="L107" i="2"/>
  <c r="O107" i="2" s="1"/>
  <c r="K107" i="2"/>
  <c r="J107" i="2"/>
  <c r="C107" i="2"/>
  <c r="N106" i="2"/>
  <c r="L106" i="2"/>
  <c r="O106" i="2" s="1"/>
  <c r="K106" i="2"/>
  <c r="J106" i="2"/>
  <c r="C106" i="2"/>
  <c r="N105" i="2"/>
  <c r="L105" i="2"/>
  <c r="O105" i="2" s="1"/>
  <c r="K105" i="2"/>
  <c r="J105" i="2"/>
  <c r="C105" i="2"/>
  <c r="N104" i="2"/>
  <c r="L104" i="2"/>
  <c r="O104" i="2" s="1"/>
  <c r="K104" i="2"/>
  <c r="J104" i="2"/>
  <c r="C104" i="2"/>
  <c r="N103" i="2"/>
  <c r="L103" i="2"/>
  <c r="O103" i="2" s="1"/>
  <c r="K103" i="2"/>
  <c r="J103" i="2"/>
  <c r="C103" i="2"/>
  <c r="N102" i="2"/>
  <c r="L102" i="2"/>
  <c r="O102" i="2" s="1"/>
  <c r="K102" i="2"/>
  <c r="J102" i="2"/>
  <c r="C102" i="2"/>
  <c r="N101" i="2"/>
  <c r="L101" i="2"/>
  <c r="O101" i="2" s="1"/>
  <c r="K101" i="2"/>
  <c r="J101" i="2"/>
  <c r="C101" i="2"/>
  <c r="N100" i="2"/>
  <c r="L100" i="2"/>
  <c r="O100" i="2" s="1"/>
  <c r="K100" i="2"/>
  <c r="J100" i="2"/>
  <c r="C100" i="2"/>
  <c r="N99" i="2"/>
  <c r="L99" i="2"/>
  <c r="O99" i="2" s="1"/>
  <c r="K99" i="2"/>
  <c r="J99" i="2"/>
  <c r="C99" i="2"/>
  <c r="N98" i="2"/>
  <c r="L98" i="2"/>
  <c r="O98" i="2" s="1"/>
  <c r="K98" i="2"/>
  <c r="J98" i="2"/>
  <c r="C98" i="2"/>
  <c r="N97" i="2"/>
  <c r="L97" i="2"/>
  <c r="O97" i="2" s="1"/>
  <c r="K97" i="2"/>
  <c r="J97" i="2"/>
  <c r="C97" i="2"/>
  <c r="N96" i="2"/>
  <c r="L96" i="2"/>
  <c r="O96" i="2" s="1"/>
  <c r="K96" i="2"/>
  <c r="J96" i="2"/>
  <c r="C96" i="2"/>
  <c r="N95" i="2"/>
  <c r="L95" i="2"/>
  <c r="O95" i="2" s="1"/>
  <c r="K95" i="2"/>
  <c r="J95" i="2"/>
  <c r="C95" i="2"/>
  <c r="N94" i="2"/>
  <c r="L94" i="2"/>
  <c r="O94" i="2" s="1"/>
  <c r="K94" i="2"/>
  <c r="J94" i="2"/>
  <c r="C94" i="2"/>
  <c r="N93" i="2"/>
  <c r="L93" i="2"/>
  <c r="O93" i="2" s="1"/>
  <c r="K93" i="2"/>
  <c r="J93" i="2"/>
  <c r="C93" i="2"/>
  <c r="N92" i="2"/>
  <c r="L92" i="2"/>
  <c r="O92" i="2" s="1"/>
  <c r="K92" i="2"/>
  <c r="J92" i="2"/>
  <c r="C92" i="2"/>
  <c r="N91" i="2"/>
  <c r="L91" i="2"/>
  <c r="O91" i="2" s="1"/>
  <c r="K91" i="2"/>
  <c r="J91" i="2"/>
  <c r="C91" i="2"/>
  <c r="N90" i="2"/>
  <c r="L90" i="2"/>
  <c r="O90" i="2" s="1"/>
  <c r="K90" i="2"/>
  <c r="J90" i="2"/>
  <c r="C90" i="2"/>
  <c r="N89" i="2"/>
  <c r="L89" i="2"/>
  <c r="O89" i="2" s="1"/>
  <c r="K89" i="2"/>
  <c r="J89" i="2"/>
  <c r="C89" i="2"/>
  <c r="N88" i="2"/>
  <c r="L88" i="2"/>
  <c r="O88" i="2" s="1"/>
  <c r="K88" i="2"/>
  <c r="J88" i="2"/>
  <c r="C88" i="2"/>
  <c r="N87" i="2"/>
  <c r="L87" i="2"/>
  <c r="O87" i="2" s="1"/>
  <c r="K87" i="2"/>
  <c r="J87" i="2"/>
  <c r="C87" i="2"/>
  <c r="N86" i="2"/>
  <c r="L86" i="2"/>
  <c r="O86" i="2" s="1"/>
  <c r="K86" i="2"/>
  <c r="J86" i="2"/>
  <c r="C86" i="2"/>
  <c r="N85" i="2"/>
  <c r="L85" i="2"/>
  <c r="O85" i="2" s="1"/>
  <c r="K85" i="2"/>
  <c r="J85" i="2"/>
  <c r="C85" i="2"/>
  <c r="N84" i="2"/>
  <c r="L84" i="2"/>
  <c r="O84" i="2" s="1"/>
  <c r="K84" i="2"/>
  <c r="J84" i="2"/>
  <c r="C84" i="2"/>
  <c r="N83" i="2"/>
  <c r="L83" i="2"/>
  <c r="O83" i="2" s="1"/>
  <c r="K83" i="2"/>
  <c r="J83" i="2"/>
  <c r="C83" i="2"/>
  <c r="N82" i="2"/>
  <c r="L82" i="2"/>
  <c r="O82" i="2" s="1"/>
  <c r="K82" i="2"/>
  <c r="J82" i="2"/>
  <c r="C82" i="2"/>
  <c r="N81" i="2"/>
  <c r="L81" i="2"/>
  <c r="O81" i="2" s="1"/>
  <c r="K81" i="2"/>
  <c r="J81" i="2"/>
  <c r="C81" i="2"/>
  <c r="N80" i="2"/>
  <c r="L80" i="2"/>
  <c r="O80" i="2" s="1"/>
  <c r="K80" i="2"/>
  <c r="J80" i="2"/>
  <c r="C80" i="2"/>
  <c r="N79" i="2"/>
  <c r="L79" i="2"/>
  <c r="O79" i="2" s="1"/>
  <c r="K79" i="2"/>
  <c r="J79" i="2"/>
  <c r="C79" i="2"/>
  <c r="N78" i="2"/>
  <c r="L78" i="2"/>
  <c r="O78" i="2" s="1"/>
  <c r="K78" i="2"/>
  <c r="J78" i="2"/>
  <c r="C78" i="2"/>
  <c r="N77" i="2"/>
  <c r="L77" i="2"/>
  <c r="O77" i="2" s="1"/>
  <c r="K77" i="2"/>
  <c r="J77" i="2"/>
  <c r="C77" i="2"/>
  <c r="N76" i="2"/>
  <c r="L76" i="2"/>
  <c r="O76" i="2" s="1"/>
  <c r="K76" i="2"/>
  <c r="J76" i="2"/>
  <c r="C76" i="2"/>
  <c r="N75" i="2"/>
  <c r="L75" i="2"/>
  <c r="O75" i="2" s="1"/>
  <c r="K75" i="2"/>
  <c r="J75" i="2"/>
  <c r="C75" i="2"/>
  <c r="N74" i="2"/>
  <c r="L74" i="2"/>
  <c r="O74" i="2" s="1"/>
  <c r="K74" i="2"/>
  <c r="J74" i="2"/>
  <c r="C74" i="2"/>
  <c r="N73" i="2"/>
  <c r="L73" i="2"/>
  <c r="O73" i="2" s="1"/>
  <c r="K73" i="2"/>
  <c r="J73" i="2"/>
  <c r="C73" i="2"/>
  <c r="N72" i="2"/>
  <c r="L72" i="2"/>
  <c r="O72" i="2" s="1"/>
  <c r="K72" i="2"/>
  <c r="J72" i="2"/>
  <c r="C72" i="2"/>
  <c r="N71" i="2"/>
  <c r="L71" i="2"/>
  <c r="O71" i="2" s="1"/>
  <c r="K71" i="2"/>
  <c r="J71" i="2"/>
  <c r="C71" i="2"/>
  <c r="N70" i="2"/>
  <c r="L70" i="2"/>
  <c r="O70" i="2" s="1"/>
  <c r="K70" i="2"/>
  <c r="J70" i="2"/>
  <c r="C70" i="2"/>
  <c r="N69" i="2"/>
  <c r="L69" i="2"/>
  <c r="O69" i="2" s="1"/>
  <c r="K69" i="2"/>
  <c r="J69" i="2"/>
  <c r="C69" i="2"/>
  <c r="N68" i="2"/>
  <c r="L68" i="2"/>
  <c r="O68" i="2" s="1"/>
  <c r="K68" i="2"/>
  <c r="J68" i="2"/>
  <c r="C68" i="2"/>
  <c r="N67" i="2"/>
  <c r="L67" i="2"/>
  <c r="O67" i="2" s="1"/>
  <c r="K67" i="2"/>
  <c r="J67" i="2"/>
  <c r="C67" i="2"/>
  <c r="N66" i="2"/>
  <c r="L66" i="2"/>
  <c r="O66" i="2" s="1"/>
  <c r="K66" i="2"/>
  <c r="J66" i="2"/>
  <c r="C66" i="2"/>
  <c r="N65" i="2"/>
  <c r="L65" i="2"/>
  <c r="O65" i="2" s="1"/>
  <c r="K65" i="2"/>
  <c r="J65" i="2"/>
  <c r="C65" i="2"/>
  <c r="N64" i="2"/>
  <c r="L64" i="2"/>
  <c r="O64" i="2" s="1"/>
  <c r="K64" i="2"/>
  <c r="J64" i="2"/>
  <c r="C64" i="2"/>
  <c r="N63" i="2"/>
  <c r="L63" i="2"/>
  <c r="O63" i="2" s="1"/>
  <c r="K63" i="2"/>
  <c r="J63" i="2"/>
  <c r="C63" i="2"/>
  <c r="N62" i="2"/>
  <c r="L62" i="2"/>
  <c r="O62" i="2" s="1"/>
  <c r="K62" i="2"/>
  <c r="J62" i="2"/>
  <c r="C62" i="2"/>
  <c r="N61" i="2"/>
  <c r="L61" i="2"/>
  <c r="O61" i="2" s="1"/>
  <c r="K61" i="2"/>
  <c r="J61" i="2"/>
  <c r="C61" i="2"/>
  <c r="N60" i="2"/>
  <c r="L60" i="2"/>
  <c r="O60" i="2" s="1"/>
  <c r="K60" i="2"/>
  <c r="J60" i="2"/>
  <c r="C60" i="2"/>
  <c r="N59" i="2"/>
  <c r="L59" i="2"/>
  <c r="O59" i="2" s="1"/>
  <c r="K59" i="2"/>
  <c r="J59" i="2"/>
  <c r="C59" i="2"/>
  <c r="N58" i="2"/>
  <c r="L58" i="2"/>
  <c r="O58" i="2" s="1"/>
  <c r="K58" i="2"/>
  <c r="J58" i="2"/>
  <c r="C58" i="2"/>
  <c r="N57" i="2"/>
  <c r="L57" i="2"/>
  <c r="O57" i="2" s="1"/>
  <c r="K57" i="2"/>
  <c r="J57" i="2"/>
  <c r="C57" i="2"/>
  <c r="N56" i="2"/>
  <c r="L56" i="2"/>
  <c r="O56" i="2" s="1"/>
  <c r="K56" i="2"/>
  <c r="J56" i="2"/>
  <c r="C56" i="2"/>
  <c r="N55" i="2"/>
  <c r="L55" i="2"/>
  <c r="O55" i="2" s="1"/>
  <c r="K55" i="2"/>
  <c r="J55" i="2"/>
  <c r="C55" i="2"/>
  <c r="N54" i="2"/>
  <c r="L54" i="2"/>
  <c r="O54" i="2" s="1"/>
  <c r="K54" i="2"/>
  <c r="J54" i="2"/>
  <c r="C54" i="2"/>
  <c r="N53" i="2"/>
  <c r="L53" i="2"/>
  <c r="O53" i="2" s="1"/>
  <c r="K53" i="2"/>
  <c r="J53" i="2"/>
  <c r="C53" i="2"/>
  <c r="N52" i="2"/>
  <c r="L52" i="2"/>
  <c r="O52" i="2" s="1"/>
  <c r="K52" i="2"/>
  <c r="J52" i="2"/>
  <c r="C52" i="2"/>
  <c r="N51" i="2"/>
  <c r="L51" i="2"/>
  <c r="O51" i="2" s="1"/>
  <c r="K51" i="2"/>
  <c r="J51" i="2"/>
  <c r="C51" i="2"/>
  <c r="N50" i="2"/>
  <c r="L50" i="2"/>
  <c r="O50" i="2" s="1"/>
  <c r="K50" i="2"/>
  <c r="J50" i="2"/>
  <c r="C50" i="2"/>
  <c r="N49" i="2"/>
  <c r="L49" i="2"/>
  <c r="O49" i="2" s="1"/>
  <c r="K49" i="2"/>
  <c r="J49" i="2"/>
  <c r="C49" i="2"/>
  <c r="N48" i="2"/>
  <c r="L48" i="2"/>
  <c r="O48" i="2" s="1"/>
  <c r="K48" i="2"/>
  <c r="J48" i="2"/>
  <c r="C48" i="2"/>
  <c r="N47" i="2"/>
  <c r="L47" i="2"/>
  <c r="O47" i="2" s="1"/>
  <c r="K47" i="2"/>
  <c r="J47" i="2"/>
  <c r="C47" i="2"/>
  <c r="N46" i="2"/>
  <c r="L46" i="2"/>
  <c r="O46" i="2" s="1"/>
  <c r="K46" i="2"/>
  <c r="J46" i="2"/>
  <c r="C46" i="2"/>
  <c r="N45" i="2"/>
  <c r="L45" i="2"/>
  <c r="O45" i="2" s="1"/>
  <c r="K45" i="2"/>
  <c r="J45" i="2"/>
  <c r="C45" i="2"/>
  <c r="N44" i="2"/>
  <c r="L44" i="2"/>
  <c r="O44" i="2" s="1"/>
  <c r="K44" i="2"/>
  <c r="J44" i="2"/>
  <c r="C44" i="2"/>
  <c r="N43" i="2"/>
  <c r="L43" i="2"/>
  <c r="O43" i="2" s="1"/>
  <c r="K43" i="2"/>
  <c r="J43" i="2"/>
  <c r="C43" i="2"/>
  <c r="N42" i="2"/>
  <c r="L42" i="2"/>
  <c r="O42" i="2" s="1"/>
  <c r="K42" i="2"/>
  <c r="J42" i="2"/>
  <c r="C42" i="2"/>
  <c r="N41" i="2"/>
  <c r="L41" i="2"/>
  <c r="O41" i="2" s="1"/>
  <c r="K41" i="2"/>
  <c r="J41" i="2"/>
  <c r="C41" i="2"/>
  <c r="N40" i="2"/>
  <c r="L40" i="2"/>
  <c r="O40" i="2" s="1"/>
  <c r="K40" i="2"/>
  <c r="J40" i="2"/>
  <c r="C40" i="2"/>
  <c r="N39" i="2"/>
  <c r="L39" i="2"/>
  <c r="O39" i="2" s="1"/>
  <c r="K39" i="2"/>
  <c r="J39" i="2"/>
  <c r="C39" i="2"/>
  <c r="N38" i="2"/>
  <c r="L38" i="2"/>
  <c r="O38" i="2" s="1"/>
  <c r="K38" i="2"/>
  <c r="J38" i="2"/>
  <c r="C38" i="2"/>
  <c r="N37" i="2"/>
  <c r="L37" i="2"/>
  <c r="O37" i="2" s="1"/>
  <c r="K37" i="2"/>
  <c r="J37" i="2"/>
  <c r="C37" i="2"/>
  <c r="N36" i="2"/>
  <c r="L36" i="2"/>
  <c r="O36" i="2" s="1"/>
  <c r="K36" i="2"/>
  <c r="J36" i="2"/>
  <c r="C36" i="2"/>
  <c r="N35" i="2"/>
  <c r="L35" i="2"/>
  <c r="O35" i="2" s="1"/>
  <c r="K35" i="2"/>
  <c r="J35" i="2"/>
  <c r="C35" i="2"/>
  <c r="N34" i="2"/>
  <c r="L34" i="2"/>
  <c r="O34" i="2" s="1"/>
  <c r="K34" i="2"/>
  <c r="J34" i="2"/>
  <c r="C34" i="2"/>
  <c r="N33" i="2"/>
  <c r="L33" i="2"/>
  <c r="O33" i="2" s="1"/>
  <c r="K33" i="2"/>
  <c r="J33" i="2"/>
  <c r="C33" i="2"/>
  <c r="N32" i="2"/>
  <c r="L32" i="2"/>
  <c r="O32" i="2" s="1"/>
  <c r="K32" i="2"/>
  <c r="J32" i="2"/>
  <c r="C32" i="2"/>
  <c r="N31" i="2"/>
  <c r="L31" i="2"/>
  <c r="O31" i="2" s="1"/>
  <c r="K31" i="2"/>
  <c r="J31" i="2"/>
  <c r="C31" i="2"/>
  <c r="N30" i="2"/>
  <c r="L30" i="2"/>
  <c r="O30" i="2" s="1"/>
  <c r="K30" i="2"/>
  <c r="J30" i="2"/>
  <c r="C30" i="2"/>
  <c r="N29" i="2"/>
  <c r="L29" i="2"/>
  <c r="O29" i="2" s="1"/>
  <c r="K29" i="2"/>
  <c r="J29" i="2"/>
  <c r="C29" i="2"/>
  <c r="N28" i="2"/>
  <c r="L28" i="2"/>
  <c r="O28" i="2" s="1"/>
  <c r="K28" i="2"/>
  <c r="J28" i="2"/>
  <c r="C28" i="2"/>
  <c r="N27" i="2"/>
  <c r="L27" i="2"/>
  <c r="O27" i="2" s="1"/>
  <c r="K27" i="2"/>
  <c r="J27" i="2"/>
  <c r="C27" i="2"/>
  <c r="N26" i="2"/>
  <c r="L26" i="2"/>
  <c r="O26" i="2" s="1"/>
  <c r="K26" i="2"/>
  <c r="J26" i="2"/>
  <c r="C26" i="2"/>
  <c r="N25" i="2"/>
  <c r="L25" i="2"/>
  <c r="O25" i="2" s="1"/>
  <c r="K25" i="2"/>
  <c r="J25" i="2"/>
  <c r="C25" i="2"/>
  <c r="N24" i="2"/>
  <c r="L24" i="2"/>
  <c r="O24" i="2" s="1"/>
  <c r="K24" i="2"/>
  <c r="J24" i="2"/>
  <c r="C24" i="2"/>
  <c r="N23" i="2"/>
  <c r="L23" i="2"/>
  <c r="O23" i="2" s="1"/>
  <c r="K23" i="2"/>
  <c r="J23" i="2"/>
  <c r="C23" i="2"/>
  <c r="N22" i="2"/>
  <c r="L22" i="2"/>
  <c r="O22" i="2" s="1"/>
  <c r="K22" i="2"/>
  <c r="J22" i="2"/>
  <c r="C22" i="2"/>
  <c r="N21" i="2"/>
  <c r="L21" i="2"/>
  <c r="O21" i="2" s="1"/>
  <c r="K21" i="2"/>
  <c r="J21" i="2"/>
  <c r="C21" i="2"/>
  <c r="N20" i="2"/>
  <c r="L20" i="2"/>
  <c r="O20" i="2" s="1"/>
  <c r="K20" i="2"/>
  <c r="J20" i="2"/>
  <c r="C20" i="2"/>
  <c r="N19" i="2"/>
  <c r="L19" i="2"/>
  <c r="O19" i="2" s="1"/>
  <c r="K19" i="2"/>
  <c r="J19" i="2"/>
  <c r="C19" i="2"/>
  <c r="N18" i="2"/>
  <c r="L18" i="2"/>
  <c r="O18" i="2" s="1"/>
  <c r="K18" i="2"/>
  <c r="J18" i="2"/>
  <c r="C18" i="2"/>
  <c r="N17" i="2"/>
  <c r="L17" i="2"/>
  <c r="O17" i="2" s="1"/>
  <c r="K17" i="2"/>
  <c r="J17" i="2"/>
  <c r="C17" i="2"/>
  <c r="N16" i="2"/>
  <c r="L16" i="2"/>
  <c r="O16" i="2" s="1"/>
  <c r="K16" i="2"/>
  <c r="J16" i="2"/>
  <c r="C16" i="2"/>
  <c r="N15" i="2"/>
  <c r="L15" i="2"/>
  <c r="O15" i="2" s="1"/>
  <c r="K15" i="2"/>
  <c r="J15" i="2"/>
  <c r="C15" i="2"/>
  <c r="N14" i="2"/>
  <c r="L14" i="2"/>
  <c r="O14" i="2" s="1"/>
  <c r="K14" i="2"/>
  <c r="J14" i="2"/>
  <c r="C14" i="2"/>
  <c r="M12" i="2"/>
  <c r="K12" i="2"/>
  <c r="L12" i="2" s="1"/>
  <c r="O12" i="2" s="1"/>
  <c r="J12" i="2"/>
  <c r="C12" i="2"/>
  <c r="M11" i="2"/>
  <c r="K11" i="2"/>
  <c r="L11" i="2" s="1"/>
  <c r="J11" i="2"/>
  <c r="C11" i="2"/>
  <c r="K10" i="2"/>
  <c r="L10" i="2" s="1"/>
  <c r="O10" i="2" s="1"/>
  <c r="J10" i="2"/>
  <c r="C10" i="2"/>
  <c r="M9" i="2"/>
  <c r="K9" i="2"/>
  <c r="J9" i="2"/>
  <c r="C9" i="2"/>
  <c r="M8" i="2"/>
  <c r="K8" i="2"/>
  <c r="L8" i="2" s="1"/>
  <c r="J8" i="2"/>
  <c r="C8" i="2"/>
  <c r="M7" i="2"/>
  <c r="K7" i="2"/>
  <c r="L7" i="2" s="1"/>
  <c r="J7" i="2"/>
  <c r="C7" i="2"/>
  <c r="M6" i="2"/>
  <c r="K6" i="2"/>
  <c r="L6" i="2" s="1"/>
  <c r="O6" i="2" s="1"/>
  <c r="J6" i="2"/>
  <c r="C6" i="2"/>
  <c r="M5" i="2"/>
  <c r="K5" i="2"/>
  <c r="J5" i="2"/>
  <c r="C5" i="2"/>
  <c r="H10" i="1"/>
  <c r="A5" i="1"/>
  <c r="C5" i="1" l="1"/>
  <c r="O7" i="2"/>
  <c r="N7" i="2"/>
  <c r="N11" i="2"/>
  <c r="O11" i="2"/>
  <c r="O8" i="2"/>
  <c r="N8" i="2"/>
  <c r="N12" i="2"/>
  <c r="L9" i="2"/>
  <c r="O9" i="2" s="1"/>
  <c r="N6" i="2"/>
  <c r="N10" i="2"/>
  <c r="H13" i="1"/>
  <c r="L5" i="2"/>
  <c r="N5" i="2" s="1"/>
  <c r="H11" i="1"/>
  <c r="N9" i="2" l="1"/>
  <c r="B13" i="1" s="1"/>
  <c r="C13" i="1" s="1"/>
  <c r="H12" i="1"/>
  <c r="O5" i="2"/>
  <c r="B17" i="1" l="1"/>
  <c r="C17" i="1" s="1"/>
  <c r="B15" i="1"/>
  <c r="C15" i="1" s="1"/>
  <c r="B16" i="1"/>
  <c r="C16" i="1" s="1"/>
  <c r="B11" i="1"/>
  <c r="C11" i="1" s="1"/>
  <c r="B14" i="1"/>
  <c r="C14" i="1" s="1"/>
  <c r="G5" i="1"/>
  <c r="B12" i="1"/>
  <c r="C12" i="1" s="1"/>
  <c r="E5" i="1"/>
</calcChain>
</file>

<file path=xl/sharedStrings.xml><?xml version="1.0" encoding="utf-8"?>
<sst xmlns="http://schemas.openxmlformats.org/spreadsheetml/2006/main" count="179" uniqueCount="138">
  <si>
    <t>PURCHASE ORDER DASHBOARD</t>
  </si>
  <si>
    <t>Live summary of purchasing activity • Sample data included.</t>
  </si>
  <si>
    <t>TOTAL PURCHASE ORDERS</t>
  </si>
  <si>
    <t>TOTAL PO VALUE (SAR)</t>
  </si>
  <si>
    <t>OVERDUE ORDERS</t>
  </si>
  <si>
    <t>COMPLETION RATE</t>
  </si>
  <si>
    <t>ORDER STATUS SUMMARY</t>
  </si>
  <si>
    <t>DELIVERY &amp; QUANTITY METRICS</t>
  </si>
  <si>
    <t>Status</t>
  </si>
  <si>
    <t>Count</t>
  </si>
  <si>
    <t>Share</t>
  </si>
  <si>
    <t>Total ordered quantity</t>
  </si>
  <si>
    <t>Scheduled</t>
  </si>
  <si>
    <t>Total received quantity</t>
  </si>
  <si>
    <t>Partially Received</t>
  </si>
  <si>
    <t>Total outstanding quantity</t>
  </si>
  <si>
    <t>Overdue</t>
  </si>
  <si>
    <t>Received value (approx.)</t>
  </si>
  <si>
    <t>Overdue - Partial</t>
  </si>
  <si>
    <t>Complete</t>
  </si>
  <si>
    <t>Incomplete</t>
  </si>
  <si>
    <t>Over-received</t>
  </si>
  <si>
    <t>Follow-up tip: Filter Purchase Orders by Status to prioritize overdue orders and supplier calls.</t>
  </si>
  <si>
    <t>PURCHASE ORDER TRACKER</t>
  </si>
  <si>
    <t>Enter details in blue cells. Gray cells are calculated automatically.</t>
  </si>
  <si>
    <t>PO Number</t>
  </si>
  <si>
    <t>Supplier ID</t>
  </si>
  <si>
    <t>Supplier Name</t>
  </si>
  <si>
    <t>Item / Description</t>
  </si>
  <si>
    <t>Category</t>
  </si>
  <si>
    <t>Order Date</t>
  </si>
  <si>
    <t>Promised Delivery Date</t>
  </si>
  <si>
    <t>Ordered Qty</t>
  </si>
  <si>
    <t>Unit Price (SAR)</t>
  </si>
  <si>
    <t>PO Value (SAR)</t>
  </si>
  <si>
    <t>Received Qty</t>
  </si>
  <si>
    <t>Remaining Qty</t>
  </si>
  <si>
    <t>Latest Receipt Date</t>
  </si>
  <si>
    <t>Days Late</t>
  </si>
  <si>
    <t>Notes</t>
  </si>
  <si>
    <t>PO-2026-001</t>
  </si>
  <si>
    <t>SUP-001</t>
  </si>
  <si>
    <t>Industrial fasteners</t>
  </si>
  <si>
    <t>Industrial supplies</t>
  </si>
  <si>
    <t>Sample: fully received</t>
  </si>
  <si>
    <t>PO-2026-002</t>
  </si>
  <si>
    <t>SUP-003</t>
  </si>
  <si>
    <t>Packaging cartons</t>
  </si>
  <si>
    <t>Packaging</t>
  </si>
  <si>
    <t>Sample: overdue partial receipt</t>
  </si>
  <si>
    <t>PO-2026-003</t>
  </si>
  <si>
    <t>SUP-002</t>
  </si>
  <si>
    <t>Office paper boxes</t>
  </si>
  <si>
    <t>Office supplies</t>
  </si>
  <si>
    <t>Sample: partial receipt, not yet due</t>
  </si>
  <si>
    <t>PO-2026-004</t>
  </si>
  <si>
    <t>SUP-004</t>
  </si>
  <si>
    <t>Safety gloves</t>
  </si>
  <si>
    <t>Safety equipment</t>
  </si>
  <si>
    <t>PO-2026-005</t>
  </si>
  <si>
    <t>SUP-005</t>
  </si>
  <si>
    <t>Network adapters</t>
  </si>
  <si>
    <t>IT components</t>
  </si>
  <si>
    <t>Sample: scheduled</t>
  </si>
  <si>
    <t>PO-2026-006</t>
  </si>
  <si>
    <t>Protective eyewear</t>
  </si>
  <si>
    <t>Sample: partial receipt</t>
  </si>
  <si>
    <t>PO-2026-007</t>
  </si>
  <si>
    <t>Printer toner</t>
  </si>
  <si>
    <t>PO-2026-008</t>
  </si>
  <si>
    <t>Stretch film rolls</t>
  </si>
  <si>
    <t>Sample: overdue with no receipt</t>
  </si>
  <si>
    <t>GOODS RECEIPT LOG</t>
  </si>
  <si>
    <t>Record every delivery separately. Use one row per receipt event.</t>
  </si>
  <si>
    <t>Receipt ID</t>
  </si>
  <si>
    <t>Receipt Date</t>
  </si>
  <si>
    <t>Quantity Received</t>
  </si>
  <si>
    <t>Received By</t>
  </si>
  <si>
    <t>GR-0001</t>
  </si>
  <si>
    <t>A. Buyer</t>
  </si>
  <si>
    <t>First delivery</t>
  </si>
  <si>
    <t>GR-0002</t>
  </si>
  <si>
    <t>Balance received</t>
  </si>
  <si>
    <t>GR-0003</t>
  </si>
  <si>
    <t>Partial delivery</t>
  </si>
  <si>
    <t>GR-0004</t>
  </si>
  <si>
    <t>GR-0005</t>
  </si>
  <si>
    <t>GR-0006</t>
  </si>
  <si>
    <t>SUPPLIER DIRECTORY</t>
  </si>
  <si>
    <t>Maintain supplier details here. Supplier IDs must be unique.</t>
  </si>
  <si>
    <t>Contact Name</t>
  </si>
  <si>
    <t>Phone</t>
  </si>
  <si>
    <t>Email</t>
  </si>
  <si>
    <t>Supply Category</t>
  </si>
  <si>
    <t>Typical Lead Time (Days)</t>
  </si>
  <si>
    <t>Supplier Rating (1-5)</t>
  </si>
  <si>
    <t>Northstar Industrial Supplies</t>
  </si>
  <si>
    <t>M. Hassan</t>
  </si>
  <si>
    <t>+966 5X XXX XXXX</t>
  </si>
  <si>
    <t>orders@northstar.example</t>
  </si>
  <si>
    <t>Gulf Office Solutions</t>
  </si>
  <si>
    <t>A. Salem</t>
  </si>
  <si>
    <t>sales@gulfoffice.example</t>
  </si>
  <si>
    <t>Eastern Packaging Co.</t>
  </si>
  <si>
    <t>R. Khalid</t>
  </si>
  <si>
    <t>sales@easternpack.example</t>
  </si>
  <si>
    <t>BlueLine Safety Equipment</t>
  </si>
  <si>
    <t>S. Omar</t>
  </si>
  <si>
    <t>procurement@blueline.example</t>
  </si>
  <si>
    <t>Desert Tech Components</t>
  </si>
  <si>
    <t>N. Ali</t>
  </si>
  <si>
    <t>orders@deserttech.example</t>
  </si>
  <si>
    <t>USER GUIDE</t>
  </si>
  <si>
    <t>Quick-start instructions and assumptions.</t>
  </si>
  <si>
    <t>1. Start here</t>
  </si>
  <si>
    <t>Review sample data, then replace it with your own. Blue cells are for manual input; gray cells contain formulas.</t>
  </si>
  <si>
    <t>2. Supplier setup</t>
  </si>
  <si>
    <t>Add suppliers in Suppliers. Supplier IDs must be unique. Select the matching Supplier ID in Purchase Orders.</t>
  </si>
  <si>
    <t>3. Create a PO</t>
  </si>
  <si>
    <t>Enter a unique PO Number, Supplier ID, item, category, order date, promised date, ordered quantity, and unit price.</t>
  </si>
  <si>
    <t>4. Record deliveries</t>
  </si>
  <si>
    <t>Each delivery gets its own row in Receipts. Use the exact PO Number and enter receipt date and quantity.</t>
  </si>
  <si>
    <t>5. Status logic</t>
  </si>
  <si>
    <t>Incomplete = required quantity or promised date is missing. Over-received = receipts exceed ordered quantity. Complete = all ordered quantity received without over-receipt. Partial statuses depend on whether the promised date has passed. No receipt after the promised date = Overdue; otherwise Scheduled.</t>
  </si>
  <si>
    <t>6. Remaining quantity</t>
  </si>
  <si>
    <t>Remaining Qty = MAX(Ordered Qty - Total Qty Received, 0). Over-receipts are flagged for review.</t>
  </si>
  <si>
    <t>7. Dashboard</t>
  </si>
  <si>
    <t>The dashboard updates when Excel recalculates. Completion Rate = complete orders divided by all entered PO Numbers.</t>
  </si>
  <si>
    <t>8. Date behavior</t>
  </si>
  <si>
    <t>Overdue status uses TODAY(), so it changes as the date changes. Excel recalculates formulas when opened.</t>
  </si>
  <si>
    <t>9. Compatibility</t>
  </si>
  <si>
    <t>Supplier Name uses INDEX/MATCH for broader Excel compatibility. Formula separators can vary by regional settings.</t>
  </si>
  <si>
    <t>10. Limitations</t>
  </si>
  <si>
    <t>This is an Excel tracker, not an ERP. It does not send emails, approve purchases, or enforce company policy.</t>
  </si>
  <si>
    <t>11. Currency</t>
  </si>
  <si>
    <t>Amounts are displayed in SAR. Change number formats if needed.</t>
  </si>
  <si>
    <t>12. Test before use</t>
  </si>
  <si>
    <t>Test complete, partial, overdue, no-receipt, and over-receipt scenarios before using live data. Keep a backup.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</si>
</sst>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AR&quot;\ #,##0.00"/>
    <numFmt numFmtId="165" formatCode="yyyy\-mm\-dd"/>
    <numFmt numFmtId="166" formatCode="0.0%"/>
  </numFmts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Aptos Display"/>
    </font>
    <font>
      <i/>
      <sz val="10"/>
      <color rgb="FFFFFFFF"/>
      <name val="Aptos"/>
    </font>
    <font>
      <b/>
      <sz val="11"/>
      <color rgb="FFFFFFFF"/>
      <name val="Calibri"/>
    </font>
    <font>
      <sz val="10"/>
      <color rgb="FF24343B"/>
      <name val="Aptos"/>
    </font>
    <font>
      <b/>
      <sz val="20"/>
      <color rgb="FF005B58"/>
      <name val="Calibri"/>
    </font>
    <font>
      <b/>
      <sz val="11"/>
      <color rgb="FF0B2533"/>
      <name val="Calibri"/>
    </font>
    <font>
      <b/>
      <sz val="11"/>
      <color rgb="FF005B58"/>
      <name val="Calibri"/>
    </font>
    <font>
      <i/>
      <sz val="11"/>
      <color rgb="FF6B7C85"/>
      <name val="Calibri"/>
    </font>
    <font>
      <sz val="10"/>
      <color rgb="FF24343B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B2533"/>
      </patternFill>
    </fill>
    <fill>
      <patternFill patternType="solid">
        <fgColor rgb="FF007C78"/>
      </patternFill>
    </fill>
    <fill>
      <patternFill patternType="solid">
        <fgColor rgb="FFEAF3FF"/>
      </patternFill>
    </fill>
    <fill>
      <patternFill patternType="solid">
        <fgColor rgb="FFF4F7F8"/>
      </patternFill>
    </fill>
    <fill>
      <patternFill patternType="solid">
        <fgColor rgb="FFDDF3F0"/>
      </patternFill>
    </fill>
    <fill>
      <patternFill patternType="solid">
        <fgColor rgb="FFF2F5F7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7C78"/>
      </bottom>
      <diagonal/>
    </border>
    <border>
      <left/>
      <right/>
      <top/>
      <bottom style="thin">
        <color rgb="FFD5E0E5"/>
      </bottom>
      <diagonal/>
    </border>
    <border>
      <left/>
      <right/>
      <top/>
      <bottom style="thin">
        <color rgb="FFD5E0E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4" fontId="7" fillId="6" borderId="2" xfId="0" applyNumberFormat="1" applyFont="1" applyFill="1" applyBorder="1"/>
    <xf numFmtId="0" fontId="0" fillId="0" borderId="2" xfId="0" applyBorder="1" applyAlignment="1">
      <alignment horizontal="center"/>
    </xf>
    <xf numFmtId="164" fontId="7" fillId="6" borderId="2" xfId="0" applyNumberFormat="1" applyFont="1" applyFill="1" applyBorder="1"/>
    <xf numFmtId="0" fontId="4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165" fontId="4" fillId="4" borderId="2" xfId="0" applyNumberFormat="1" applyFont="1" applyFill="1" applyBorder="1" applyAlignment="1">
      <alignment vertical="center" wrapText="1"/>
    </xf>
    <xf numFmtId="4" fontId="4" fillId="4" borderId="2" xfId="0" applyNumberFormat="1" applyFont="1" applyFill="1" applyBorder="1" applyAlignment="1">
      <alignment vertical="center" wrapText="1"/>
    </xf>
    <xf numFmtId="164" fontId="4" fillId="4" borderId="2" xfId="0" applyNumberFormat="1" applyFont="1" applyFill="1" applyBorder="1" applyAlignment="1">
      <alignment vertical="center" wrapText="1"/>
    </xf>
    <xf numFmtId="164" fontId="4" fillId="5" borderId="2" xfId="0" applyNumberFormat="1" applyFont="1" applyFill="1" applyBorder="1" applyAlignment="1">
      <alignment vertical="center" wrapText="1"/>
    </xf>
    <xf numFmtId="4" fontId="4" fillId="5" borderId="2" xfId="0" applyNumberFormat="1" applyFont="1" applyFill="1" applyBorder="1" applyAlignment="1">
      <alignment vertical="center" wrapText="1"/>
    </xf>
    <xf numFmtId="165" fontId="4" fillId="5" borderId="2" xfId="0" applyNumberFormat="1" applyFont="1" applyFill="1" applyBorder="1" applyAlignment="1">
      <alignment vertical="center" wrapText="1"/>
    </xf>
    <xf numFmtId="0" fontId="7" fillId="6" borderId="2" xfId="0" applyFont="1" applyFill="1" applyBorder="1" applyAlignment="1">
      <alignment vertical="top" wrapText="1"/>
    </xf>
    <xf numFmtId="0" fontId="9" fillId="4" borderId="2" xfId="0" applyFont="1" applyFill="1" applyBorder="1" applyAlignment="1">
      <alignment vertical="center" wrapText="1"/>
    </xf>
    <xf numFmtId="166" fontId="0" fillId="0" borderId="2" xfId="0" applyNumberFormat="1" applyBorder="1" applyAlignment="1">
      <alignment horizontal="center"/>
    </xf>
    <xf numFmtId="0" fontId="1" fillId="2" borderId="0" xfId="0" applyFont="1" applyFill="1" applyAlignment="1">
      <alignment vertical="center"/>
    </xf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6" fillId="7" borderId="2" xfId="0" applyFont="1" applyFill="1" applyBorder="1"/>
    <xf numFmtId="0" fontId="0" fillId="0" borderId="3" xfId="0" applyBorder="1"/>
    <xf numFmtId="0" fontId="8" fillId="0" borderId="0" xfId="0" applyFont="1" applyAlignment="1">
      <alignment wrapText="1"/>
    </xf>
    <xf numFmtId="0" fontId="2" fillId="3" borderId="0" xfId="0" applyFont="1" applyFill="1" applyAlignment="1">
      <alignment vertical="center" wrapText="1"/>
    </xf>
    <xf numFmtId="164" fontId="5" fillId="6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9" fontId="5" fillId="6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7">
    <dxf>
      <fill>
        <patternFill patternType="solid">
          <fgColor rgb="FFF4CC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990000"/>
      </font>
      <fill>
        <patternFill patternType="solid">
          <fgColor rgb="FFF4CCCC"/>
        </patternFill>
      </fill>
    </dxf>
    <dxf>
      <font>
        <b/>
        <color rgb="FF9C5700"/>
      </font>
      <fill>
        <patternFill patternType="solid">
          <fgColor rgb="FFFCE5CD"/>
        </patternFill>
      </fill>
    </dxf>
    <dxf>
      <font>
        <b/>
        <color rgb="FF1F5E8C"/>
      </font>
      <fill>
        <patternFill patternType="solid">
          <fgColor rgb="FFD9EAF7"/>
        </patternFill>
      </fill>
    </dxf>
    <dxf>
      <font>
        <b/>
        <color rgb="FF990000"/>
      </font>
      <fill>
        <patternFill patternType="solid">
          <fgColor rgb="FFF4CCCC"/>
        </patternFill>
      </fill>
    </dxf>
    <dxf>
      <font>
        <b/>
        <color rgb="FF38761D"/>
      </font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C78"/>
    <pageSetUpPr fitToPage="1"/>
  </sheetPr>
  <dimension ref="A1:H20"/>
  <sheetViews>
    <sheetView showGridLines="0" zoomScale="90" workbookViewId="0">
      <pane ySplit="3" topLeftCell="A4" activePane="bottomLeft" state="frozen"/>
      <selection pane="bottomLeft" activeCell="G32" sqref="G32"/>
    </sheetView>
  </sheetViews>
  <sheetFormatPr defaultRowHeight="15" x14ac:dyDescent="0.25"/>
  <cols>
    <col min="1" max="1" width="22" customWidth="1"/>
    <col min="2" max="2" width="16" customWidth="1"/>
    <col min="3" max="3" width="22" customWidth="1"/>
    <col min="4" max="4" width="16" customWidth="1"/>
    <col min="5" max="5" width="23" customWidth="1"/>
    <col min="6" max="7" width="16" customWidth="1"/>
    <col min="8" max="8" width="20" customWidth="1"/>
  </cols>
  <sheetData>
    <row r="1" spans="1:8" ht="33.950000000000003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</row>
    <row r="2" spans="1:8" ht="26.1" customHeight="1" x14ac:dyDescent="0.25">
      <c r="A2" s="22" t="s">
        <v>1</v>
      </c>
      <c r="B2" s="17"/>
      <c r="C2" s="17"/>
      <c r="D2" s="17"/>
      <c r="E2" s="17"/>
      <c r="F2" s="17"/>
      <c r="G2" s="17"/>
      <c r="H2" s="17"/>
    </row>
    <row r="4" spans="1:8" x14ac:dyDescent="0.25">
      <c r="A4" s="18" t="s">
        <v>2</v>
      </c>
      <c r="B4" s="17"/>
      <c r="C4" s="18" t="s">
        <v>3</v>
      </c>
      <c r="D4" s="17"/>
      <c r="E4" s="18" t="s">
        <v>4</v>
      </c>
      <c r="F4" s="17"/>
      <c r="G4" s="18" t="s">
        <v>5</v>
      </c>
      <c r="H4" s="17"/>
    </row>
    <row r="5" spans="1:8" x14ac:dyDescent="0.25">
      <c r="A5" s="24">
        <f>COUNTIF('Purchase Orders'!$A$5:$A$504,"&lt;&gt;")</f>
        <v>8</v>
      </c>
      <c r="B5" s="17"/>
      <c r="C5" s="23">
        <f>SUM('Purchase Orders'!$J$5:$J$504)</f>
        <v>44440</v>
      </c>
      <c r="D5" s="17"/>
      <c r="E5" s="24">
        <f ca="1">COUNTIF('Purchase Orders'!$N$5:$N$504,"Overdue")+COUNTIF('Purchase Orders'!$N$5:$N$504,"Overdue - Partial")</f>
        <v>4</v>
      </c>
      <c r="F5" s="17"/>
      <c r="G5" s="25">
        <f ca="1">IFERROR(COUNTIF('Purchase Orders'!$N$5:$N$504,"Complete")/COUNTIF('Purchase Orders'!$A$5:$A$504,"&lt;&gt;"),0)</f>
        <v>0.125</v>
      </c>
      <c r="H5" s="17"/>
    </row>
    <row r="6" spans="1:8" x14ac:dyDescent="0.25">
      <c r="A6" s="17"/>
      <c r="B6" s="17"/>
      <c r="C6" s="17"/>
      <c r="D6" s="17"/>
      <c r="E6" s="17"/>
      <c r="F6" s="17"/>
      <c r="G6" s="17"/>
      <c r="H6" s="17"/>
    </row>
    <row r="9" spans="1:8" x14ac:dyDescent="0.25">
      <c r="A9" s="26" t="s">
        <v>6</v>
      </c>
      <c r="B9" s="17"/>
      <c r="C9" s="17"/>
      <c r="E9" s="26" t="s">
        <v>7</v>
      </c>
      <c r="F9" s="17"/>
      <c r="G9" s="17"/>
      <c r="H9" s="17"/>
    </row>
    <row r="10" spans="1:8" x14ac:dyDescent="0.25">
      <c r="A10" s="1" t="s">
        <v>8</v>
      </c>
      <c r="B10" s="1" t="s">
        <v>9</v>
      </c>
      <c r="C10" s="1" t="s">
        <v>10</v>
      </c>
      <c r="E10" s="19" t="s">
        <v>11</v>
      </c>
      <c r="F10" s="20"/>
      <c r="G10" s="20"/>
      <c r="H10" s="2">
        <f>SUM('Purchase Orders'!$H$5:$H$504)</f>
        <v>694</v>
      </c>
    </row>
    <row r="11" spans="1:8" x14ac:dyDescent="0.25">
      <c r="A11" s="3" t="s">
        <v>12</v>
      </c>
      <c r="B11" s="3">
        <f ca="1">COUNTIF('Purchase Orders'!$N$5:$N$504,A11)</f>
        <v>2</v>
      </c>
      <c r="C11" s="15">
        <f t="shared" ref="C11:C17" ca="1" si="0">IFERROR(B11/$A$5,0)</f>
        <v>0.25</v>
      </c>
      <c r="E11" s="19" t="s">
        <v>13</v>
      </c>
      <c r="F11" s="20"/>
      <c r="G11" s="20"/>
      <c r="H11" s="2">
        <f>SUM('Purchase Orders'!$K$5:$K$504)</f>
        <v>295</v>
      </c>
    </row>
    <row r="12" spans="1:8" x14ac:dyDescent="0.25">
      <c r="A12" s="3" t="s">
        <v>14</v>
      </c>
      <c r="B12" s="3">
        <f ca="1">COUNTIF('Purchase Orders'!$N$5:$N$504,A12)</f>
        <v>1</v>
      </c>
      <c r="C12" s="15">
        <f t="shared" ca="1" si="0"/>
        <v>0.125</v>
      </c>
      <c r="E12" s="19" t="s">
        <v>15</v>
      </c>
      <c r="F12" s="20"/>
      <c r="G12" s="20"/>
      <c r="H12" s="2">
        <f>SUM('Purchase Orders'!$L$5:$L$504)</f>
        <v>399</v>
      </c>
    </row>
    <row r="13" spans="1:8" x14ac:dyDescent="0.25">
      <c r="A13" s="3" t="s">
        <v>16</v>
      </c>
      <c r="B13" s="3">
        <f ca="1">COUNTIF('Purchase Orders'!$N$5:$N$504,A13)</f>
        <v>1</v>
      </c>
      <c r="C13" s="15">
        <f t="shared" ca="1" si="0"/>
        <v>0.125</v>
      </c>
      <c r="E13" s="19" t="s">
        <v>17</v>
      </c>
      <c r="F13" s="20"/>
      <c r="G13" s="20"/>
      <c r="H13" s="4">
        <f>SUMPRODUCT('Purchase Orders'!$K$5:$K$504,'Purchase Orders'!$I$5:$I$504)</f>
        <v>18125</v>
      </c>
    </row>
    <row r="14" spans="1:8" x14ac:dyDescent="0.25">
      <c r="A14" s="3" t="s">
        <v>18</v>
      </c>
      <c r="B14" s="3">
        <f ca="1">COUNTIF('Purchase Orders'!$N$5:$N$504,A14)</f>
        <v>3</v>
      </c>
      <c r="C14" s="15">
        <f t="shared" ca="1" si="0"/>
        <v>0.375</v>
      </c>
    </row>
    <row r="15" spans="1:8" x14ac:dyDescent="0.25">
      <c r="A15" s="3" t="s">
        <v>19</v>
      </c>
      <c r="B15" s="3">
        <f ca="1">COUNTIF('Purchase Orders'!$N$5:$N$504,A15)</f>
        <v>1</v>
      </c>
      <c r="C15" s="15">
        <f t="shared" ca="1" si="0"/>
        <v>0.125</v>
      </c>
    </row>
    <row r="16" spans="1:8" x14ac:dyDescent="0.25">
      <c r="A16" s="3" t="s">
        <v>20</v>
      </c>
      <c r="B16" s="3">
        <f ca="1">COUNTIF('Purchase Orders'!$N$5:$N$504,A16)</f>
        <v>0</v>
      </c>
      <c r="C16" s="15">
        <f t="shared" ca="1" si="0"/>
        <v>0</v>
      </c>
    </row>
    <row r="17" spans="1:8" x14ac:dyDescent="0.25">
      <c r="A17" s="3" t="s">
        <v>21</v>
      </c>
      <c r="B17" s="3">
        <f ca="1">COUNTIF('Purchase Orders'!$N$5:$N$504,A17)</f>
        <v>0</v>
      </c>
      <c r="C17" s="15">
        <f t="shared" ca="1" si="0"/>
        <v>0</v>
      </c>
    </row>
    <row r="20" spans="1:8" x14ac:dyDescent="0.25">
      <c r="A20" s="21" t="s">
        <v>22</v>
      </c>
      <c r="B20" s="17"/>
      <c r="C20" s="17"/>
      <c r="D20" s="17"/>
      <c r="E20" s="17"/>
      <c r="F20" s="17"/>
      <c r="G20" s="17"/>
      <c r="H20" s="17"/>
    </row>
  </sheetData>
  <mergeCells count="17">
    <mergeCell ref="E9:H9"/>
    <mergeCell ref="A1:H1"/>
    <mergeCell ref="C4:D4"/>
    <mergeCell ref="E13:G13"/>
    <mergeCell ref="E11:G11"/>
    <mergeCell ref="A20:H20"/>
    <mergeCell ref="A2:H2"/>
    <mergeCell ref="C5:D6"/>
    <mergeCell ref="A5:B6"/>
    <mergeCell ref="G5:H6"/>
    <mergeCell ref="E5:F6"/>
    <mergeCell ref="A9:C9"/>
    <mergeCell ref="E12:G12"/>
    <mergeCell ref="A4:B4"/>
    <mergeCell ref="G4:H4"/>
    <mergeCell ref="E4:F4"/>
    <mergeCell ref="E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C78"/>
    <pageSetUpPr fitToPage="1"/>
  </sheetPr>
  <dimension ref="A1:P504"/>
  <sheetViews>
    <sheetView showGridLines="0" tabSelected="1" zoomScaleNormal="100" workbookViewId="0">
      <pane ySplit="4" topLeftCell="A5" activePane="bottomLeft" state="frozen"/>
      <selection pane="bottomLeft" activeCell="D29" sqref="D29"/>
    </sheetView>
  </sheetViews>
  <sheetFormatPr defaultRowHeight="15" x14ac:dyDescent="0.25"/>
  <cols>
    <col min="1" max="1" width="18" customWidth="1"/>
    <col min="2" max="2" width="14" customWidth="1"/>
    <col min="3" max="4" width="27" customWidth="1"/>
    <col min="5" max="5" width="22" customWidth="1"/>
    <col min="6" max="6" width="16" customWidth="1"/>
    <col min="7" max="7" width="22" customWidth="1"/>
    <col min="8" max="8" width="14" customWidth="1"/>
    <col min="9" max="10" width="18" customWidth="1"/>
    <col min="11" max="11" width="15" customWidth="1"/>
    <col min="12" max="12" width="16" customWidth="1"/>
    <col min="13" max="13" width="20" customWidth="1"/>
    <col min="14" max="14" width="22" customWidth="1"/>
    <col min="15" max="15" width="13" customWidth="1"/>
    <col min="16" max="16" width="36" customWidth="1"/>
  </cols>
  <sheetData>
    <row r="1" spans="1:16" ht="33.950000000000003" customHeight="1" x14ac:dyDescent="0.25">
      <c r="A1" s="16" t="s">
        <v>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26.1" customHeight="1" x14ac:dyDescent="0.25">
      <c r="A2" s="22" t="s">
        <v>24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4" spans="1:16" ht="45" customHeight="1" x14ac:dyDescent="0.25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37</v>
      </c>
      <c r="N4" s="1" t="s">
        <v>8</v>
      </c>
      <c r="O4" s="1" t="s">
        <v>38</v>
      </c>
      <c r="P4" s="1" t="s">
        <v>39</v>
      </c>
    </row>
    <row r="5" spans="1:16" x14ac:dyDescent="0.25">
      <c r="A5" s="5" t="s">
        <v>40</v>
      </c>
      <c r="B5" s="5" t="s">
        <v>41</v>
      </c>
      <c r="C5" s="6" t="str">
        <f>IFERROR(INDEX(Suppliers!$B$5:$B$104,MATCH(B5,Suppliers!$A$5:$A$104,0)),"")</f>
        <v>Northstar Industrial Supplies</v>
      </c>
      <c r="D5" s="5" t="s">
        <v>42</v>
      </c>
      <c r="E5" s="5" t="s">
        <v>43</v>
      </c>
      <c r="F5" s="7">
        <v>46285</v>
      </c>
      <c r="G5" s="7">
        <v>46300</v>
      </c>
      <c r="H5" s="8">
        <v>100</v>
      </c>
      <c r="I5" s="9">
        <v>125</v>
      </c>
      <c r="J5" s="10">
        <f t="shared" ref="J5:J68" si="0">IF(OR(H5="",I5=""),"",H5*I5)</f>
        <v>12500</v>
      </c>
      <c r="K5" s="11">
        <f>IF(A5="","",SUMIF(Receipts!$B$5:$B$510,A5,Receipts!$D$5:$D$510))</f>
        <v>100</v>
      </c>
      <c r="L5" s="11">
        <f t="shared" ref="L5:L68" si="1">IF(A5="","",MAX(0,H5-K5))</f>
        <v>0</v>
      </c>
      <c r="M5" s="12">
        <f>IFERROR(LOOKUP(2,1/(Receipts!$B$5:$B$510=A5),Receipts!$C$5:$C$510),"")</f>
        <v>46303</v>
      </c>
      <c r="N5" s="6" t="str">
        <f t="shared" ref="N5:N68" ca="1" si="2">IF(A5="","",IF(OR(H5="",G5=""),"Incomplete",IF(K5&gt;H5,"Over-received",IF(L5=0,"Complete",IF(K5&gt;0,IF(G5&lt;TODAY(),"Overdue - Partial","Partially Received"),IF(G5&lt;TODAY(),"Overdue","Scheduled"))))))</f>
        <v>Complete</v>
      </c>
      <c r="O5" s="11" t="str">
        <f t="shared" ref="O5:O68" ca="1" si="3">IF(OR(A5="",L5=0,G5=""),"",MAX(0,TODAY()-G5))</f>
        <v/>
      </c>
      <c r="P5" s="5" t="s">
        <v>44</v>
      </c>
    </row>
    <row r="6" spans="1:16" x14ac:dyDescent="0.25">
      <c r="A6" s="5" t="s">
        <v>45</v>
      </c>
      <c r="B6" s="5" t="s">
        <v>46</v>
      </c>
      <c r="C6" s="6" t="str">
        <f>IFERROR(INDEX(Suppliers!$B$5:$B$104,MATCH(B6,Suppliers!$A$5:$A$104,0)),"")</f>
        <v>Eastern Packaging Co.</v>
      </c>
      <c r="D6" s="5" t="s">
        <v>47</v>
      </c>
      <c r="E6" s="5" t="s">
        <v>48</v>
      </c>
      <c r="F6" s="7">
        <v>46287</v>
      </c>
      <c r="G6" s="7">
        <v>46302</v>
      </c>
      <c r="H6" s="8">
        <v>80</v>
      </c>
      <c r="I6" s="9">
        <v>45</v>
      </c>
      <c r="J6" s="10">
        <f t="shared" si="0"/>
        <v>3600</v>
      </c>
      <c r="K6" s="11">
        <f>IF(A6="","",SUMIF(Receipts!$B$5:$B$510,A6,Receipts!$D$5:$D$510))</f>
        <v>25</v>
      </c>
      <c r="L6" s="11">
        <f t="shared" si="1"/>
        <v>55</v>
      </c>
      <c r="M6" s="12">
        <f>IFERROR(LOOKUP(2,1/(Receipts!$B$5:$B$510=A6),Receipts!$C$5:$C$510),"")</f>
        <v>46300</v>
      </c>
      <c r="N6" s="6" t="str">
        <f t="shared" ca="1" si="2"/>
        <v>Overdue - Partial</v>
      </c>
      <c r="O6" s="11">
        <f t="shared" ca="1" si="3"/>
        <v>8</v>
      </c>
      <c r="P6" s="5" t="s">
        <v>49</v>
      </c>
    </row>
    <row r="7" spans="1:16" x14ac:dyDescent="0.25">
      <c r="A7" s="5" t="s">
        <v>50</v>
      </c>
      <c r="B7" s="5" t="s">
        <v>51</v>
      </c>
      <c r="C7" s="6" t="str">
        <f>IFERROR(INDEX(Suppliers!$B$5:$B$104,MATCH(B7,Suppliers!$A$5:$A$104,0)),"")</f>
        <v>Gulf Office Solutions</v>
      </c>
      <c r="D7" s="5" t="s">
        <v>52</v>
      </c>
      <c r="E7" s="5" t="s">
        <v>53</v>
      </c>
      <c r="F7" s="7">
        <v>46296</v>
      </c>
      <c r="G7" s="7">
        <v>46320</v>
      </c>
      <c r="H7" s="8">
        <v>200</v>
      </c>
      <c r="I7" s="9">
        <v>18</v>
      </c>
      <c r="J7" s="10">
        <f t="shared" si="0"/>
        <v>3600</v>
      </c>
      <c r="K7" s="11">
        <f>IF(A7="","",SUMIF(Receipts!$B$5:$B$510,A7,Receipts!$D$5:$D$510))</f>
        <v>100</v>
      </c>
      <c r="L7" s="11">
        <f t="shared" si="1"/>
        <v>100</v>
      </c>
      <c r="M7" s="12">
        <f>IFERROR(LOOKUP(2,1/(Receipts!$B$5:$B$510=A7),Receipts!$C$5:$C$510),"")</f>
        <v>46305</v>
      </c>
      <c r="N7" s="6" t="str">
        <f t="shared" ca="1" si="2"/>
        <v>Partially Received</v>
      </c>
      <c r="O7" s="11">
        <f t="shared" ca="1" si="3"/>
        <v>0</v>
      </c>
      <c r="P7" s="5" t="s">
        <v>54</v>
      </c>
    </row>
    <row r="8" spans="1:16" x14ac:dyDescent="0.25">
      <c r="A8" s="5" t="s">
        <v>55</v>
      </c>
      <c r="B8" s="5" t="s">
        <v>56</v>
      </c>
      <c r="C8" s="6" t="str">
        <f>IFERROR(INDEX(Suppliers!$B$5:$B$104,MATCH(B8,Suppliers!$A$5:$A$104,0)),"")</f>
        <v>BlueLine Safety Equipment</v>
      </c>
      <c r="D8" s="5" t="s">
        <v>57</v>
      </c>
      <c r="E8" s="5" t="s">
        <v>58</v>
      </c>
      <c r="F8" s="7">
        <v>46298</v>
      </c>
      <c r="G8" s="7">
        <v>46307</v>
      </c>
      <c r="H8" s="8">
        <v>150</v>
      </c>
      <c r="I8" s="9">
        <v>32</v>
      </c>
      <c r="J8" s="10">
        <f t="shared" si="0"/>
        <v>4800</v>
      </c>
      <c r="K8" s="11">
        <f>IF(A8="","",SUMIF(Receipts!$B$5:$B$510,A8,Receipts!$D$5:$D$510))</f>
        <v>50</v>
      </c>
      <c r="L8" s="11">
        <f t="shared" si="1"/>
        <v>100</v>
      </c>
      <c r="M8" s="12">
        <f>IFERROR(LOOKUP(2,1/(Receipts!$B$5:$B$510=A8),Receipts!$C$5:$C$510),"")</f>
        <v>46307</v>
      </c>
      <c r="N8" s="6" t="str">
        <f t="shared" ca="1" si="2"/>
        <v>Overdue - Partial</v>
      </c>
      <c r="O8" s="11">
        <f t="shared" ca="1" si="3"/>
        <v>3</v>
      </c>
      <c r="P8" s="5" t="s">
        <v>49</v>
      </c>
    </row>
    <row r="9" spans="1:16" x14ac:dyDescent="0.25">
      <c r="A9" s="5" t="s">
        <v>59</v>
      </c>
      <c r="B9" s="5" t="s">
        <v>60</v>
      </c>
      <c r="C9" s="6" t="str">
        <f>IFERROR(INDEX(Suppliers!$B$5:$B$104,MATCH(B9,Suppliers!$A$5:$A$104,0)),"")</f>
        <v>Desert Tech Components</v>
      </c>
      <c r="D9" s="5" t="s">
        <v>61</v>
      </c>
      <c r="E9" s="5" t="s">
        <v>62</v>
      </c>
      <c r="F9" s="7">
        <v>46307</v>
      </c>
      <c r="G9" s="7">
        <v>46323</v>
      </c>
      <c r="H9" s="8">
        <v>30</v>
      </c>
      <c r="I9" s="9">
        <v>210</v>
      </c>
      <c r="J9" s="10">
        <f t="shared" si="0"/>
        <v>6300</v>
      </c>
      <c r="K9" s="11">
        <f>IF(A9="","",SUMIF(Receipts!$B$5:$B$510,A9,Receipts!$D$5:$D$510))</f>
        <v>0</v>
      </c>
      <c r="L9" s="11">
        <f t="shared" si="1"/>
        <v>30</v>
      </c>
      <c r="M9" s="12" t="str">
        <f>IFERROR(LOOKUP(2,1/(Receipts!$B$5:$B$510=A9),Receipts!$C$5:$C$510),"")</f>
        <v/>
      </c>
      <c r="N9" s="6" t="str">
        <f t="shared" ca="1" si="2"/>
        <v>Scheduled</v>
      </c>
      <c r="O9" s="11">
        <f t="shared" ca="1" si="3"/>
        <v>0</v>
      </c>
      <c r="P9" s="5" t="s">
        <v>63</v>
      </c>
    </row>
    <row r="10" spans="1:16" x14ac:dyDescent="0.25">
      <c r="A10" s="5" t="s">
        <v>64</v>
      </c>
      <c r="B10" s="5" t="s">
        <v>41</v>
      </c>
      <c r="C10" s="6" t="str">
        <f>IFERROR(INDEX(Suppliers!$B$5:$B$104,MATCH(B10,Suppliers!$A$5:$A$104,0)),"")</f>
        <v>Northstar Industrial Supplies</v>
      </c>
      <c r="D10" s="5" t="s">
        <v>65</v>
      </c>
      <c r="E10" s="5" t="s">
        <v>58</v>
      </c>
      <c r="F10" s="7">
        <v>46299</v>
      </c>
      <c r="G10" s="7">
        <v>46309</v>
      </c>
      <c r="H10" s="8">
        <v>60</v>
      </c>
      <c r="I10" s="9">
        <v>55</v>
      </c>
      <c r="J10" s="10">
        <f t="shared" si="0"/>
        <v>3300</v>
      </c>
      <c r="K10" s="11">
        <f>IF(A10="","",SUMIF(Receipts!$B$5:$B$510,A10,Receipts!$D$5:$D$510))</f>
        <v>20</v>
      </c>
      <c r="L10" s="11">
        <f t="shared" si="1"/>
        <v>40</v>
      </c>
      <c r="M10" s="12">
        <f>IFERROR(LOOKUP(2,1/(Receipts!$B$5:$B$510=A10),Receipts!$C$5:$C$510),"")</f>
        <v>46308</v>
      </c>
      <c r="N10" s="6" t="str">
        <f t="shared" ca="1" si="2"/>
        <v>Overdue - Partial</v>
      </c>
      <c r="O10" s="11">
        <f t="shared" ca="1" si="3"/>
        <v>1</v>
      </c>
      <c r="P10" s="5" t="s">
        <v>66</v>
      </c>
    </row>
    <row r="11" spans="1:16" x14ac:dyDescent="0.25">
      <c r="A11" s="5" t="s">
        <v>67</v>
      </c>
      <c r="B11" s="5" t="s">
        <v>51</v>
      </c>
      <c r="C11" s="6" t="str">
        <f>IFERROR(INDEX(Suppliers!$B$5:$B$104,MATCH(B11,Suppliers!$A$5:$A$104,0)),"")</f>
        <v>Gulf Office Solutions</v>
      </c>
      <c r="D11" s="5" t="s">
        <v>68</v>
      </c>
      <c r="E11" s="5" t="s">
        <v>53</v>
      </c>
      <c r="F11" s="7">
        <v>46308</v>
      </c>
      <c r="G11" s="7">
        <v>46315</v>
      </c>
      <c r="H11" s="8">
        <v>24</v>
      </c>
      <c r="I11" s="9">
        <v>285</v>
      </c>
      <c r="J11" s="10">
        <f t="shared" si="0"/>
        <v>6840</v>
      </c>
      <c r="K11" s="11">
        <f>IF(A11="","",SUMIF(Receipts!$B$5:$B$510,A11,Receipts!$D$5:$D$510))</f>
        <v>0</v>
      </c>
      <c r="L11" s="11">
        <f t="shared" si="1"/>
        <v>24</v>
      </c>
      <c r="M11" s="12" t="str">
        <f>IFERROR(LOOKUP(2,1/(Receipts!$B$5:$B$510=A11),Receipts!$C$5:$C$510),"")</f>
        <v/>
      </c>
      <c r="N11" s="6" t="str">
        <f t="shared" ca="1" si="2"/>
        <v>Scheduled</v>
      </c>
      <c r="O11" s="11">
        <f t="shared" ca="1" si="3"/>
        <v>0</v>
      </c>
      <c r="P11" s="5" t="s">
        <v>63</v>
      </c>
    </row>
    <row r="12" spans="1:16" x14ac:dyDescent="0.25">
      <c r="A12" s="5" t="s">
        <v>69</v>
      </c>
      <c r="B12" s="5" t="s">
        <v>46</v>
      </c>
      <c r="C12" s="6" t="str">
        <f>IFERROR(INDEX(Suppliers!$B$5:$B$104,MATCH(B12,Suppliers!$A$5:$A$104,0)),"")</f>
        <v>Eastern Packaging Co.</v>
      </c>
      <c r="D12" s="5" t="s">
        <v>70</v>
      </c>
      <c r="E12" s="5" t="s">
        <v>48</v>
      </c>
      <c r="F12" s="7">
        <v>46296</v>
      </c>
      <c r="G12" s="7">
        <v>46304</v>
      </c>
      <c r="H12" s="8">
        <v>50</v>
      </c>
      <c r="I12" s="9">
        <v>70</v>
      </c>
      <c r="J12" s="10">
        <f t="shared" si="0"/>
        <v>3500</v>
      </c>
      <c r="K12" s="11">
        <f>IF(A12="","",SUMIF(Receipts!$B$5:$B$510,A12,Receipts!$D$5:$D$510))</f>
        <v>0</v>
      </c>
      <c r="L12" s="11">
        <f t="shared" si="1"/>
        <v>50</v>
      </c>
      <c r="M12" s="12" t="str">
        <f>IFERROR(LOOKUP(2,1/(Receipts!$B$5:$B$510=A12),Receipts!$C$5:$C$510),"")</f>
        <v/>
      </c>
      <c r="N12" s="6" t="str">
        <f t="shared" ca="1" si="2"/>
        <v>Overdue</v>
      </c>
      <c r="O12" s="11">
        <f t="shared" ca="1" si="3"/>
        <v>6</v>
      </c>
      <c r="P12" s="5" t="s">
        <v>71</v>
      </c>
    </row>
    <row r="13" spans="1:16" x14ac:dyDescent="0.25">
      <c r="A13" s="14"/>
      <c r="B13" s="14"/>
      <c r="C13" s="6"/>
      <c r="D13" s="5"/>
      <c r="E13" s="5"/>
      <c r="F13" s="7"/>
      <c r="G13" s="7"/>
      <c r="H13" s="8"/>
      <c r="I13" s="9"/>
      <c r="J13" s="10"/>
      <c r="K13" s="11"/>
      <c r="L13" s="11"/>
      <c r="M13" s="12" t="str">
        <f>IF(COUNTIF(Receipts!$B$5:$B$510,A17)=0,"",IFERROR(LOOKUP(2,1/(Receipts!$B$5:$B$510=A17),Receipts!$C$5:$C$510),""))</f>
        <v/>
      </c>
      <c r="N13" s="6"/>
      <c r="O13" s="11"/>
      <c r="P13" s="5"/>
    </row>
    <row r="14" spans="1:16" x14ac:dyDescent="0.25">
      <c r="A14" s="5"/>
      <c r="B14" s="5"/>
      <c r="C14" s="6" t="str">
        <f>IFERROR(INDEX(Suppliers!$B$5:$B$104,MATCH(B14,Suppliers!$A$5:$A$104,0)),"")</f>
        <v/>
      </c>
      <c r="D14" s="5"/>
      <c r="E14" s="5"/>
      <c r="F14" s="7"/>
      <c r="G14" s="7"/>
      <c r="H14" s="8"/>
      <c r="I14" s="9"/>
      <c r="J14" s="10" t="str">
        <f t="shared" si="0"/>
        <v/>
      </c>
      <c r="K14" s="11" t="str">
        <f>IF(A14="","",SUMIF(Receipts!$B$5:$B$510,A14,Receipts!$D$5:$D$510))</f>
        <v/>
      </c>
      <c r="L14" s="11" t="str">
        <f t="shared" si="1"/>
        <v/>
      </c>
      <c r="M14" s="12" t="str">
        <f>IF(COUNTIF(Receipts!$B$5:$B$510,A14)=0,"",IFERROR(LOOKUP(2,1/(Receipts!$B$5:$B$510=A14),Receipts!$C$5:$C$510),""))</f>
        <v/>
      </c>
      <c r="N14" s="6" t="str">
        <f t="shared" ca="1" si="2"/>
        <v/>
      </c>
      <c r="O14" s="11" t="str">
        <f t="shared" ca="1" si="3"/>
        <v/>
      </c>
      <c r="P14" s="5"/>
    </row>
    <row r="15" spans="1:16" x14ac:dyDescent="0.25">
      <c r="A15" s="5"/>
      <c r="B15" s="5"/>
      <c r="C15" s="6" t="str">
        <f>IFERROR(INDEX(Suppliers!$B$5:$B$104,MATCH(B15,Suppliers!$A$5:$A$104,0)),"")</f>
        <v/>
      </c>
      <c r="D15" s="5"/>
      <c r="E15" s="5"/>
      <c r="F15" s="7"/>
      <c r="G15" s="7"/>
      <c r="H15" s="8"/>
      <c r="I15" s="9"/>
      <c r="J15" s="10" t="str">
        <f t="shared" si="0"/>
        <v/>
      </c>
      <c r="K15" s="11" t="str">
        <f>IF(A15="","",SUMIF(Receipts!$B$5:$B$510,A15,Receipts!$D$5:$D$510))</f>
        <v/>
      </c>
      <c r="L15" s="11" t="str">
        <f t="shared" si="1"/>
        <v/>
      </c>
      <c r="M15" s="12" t="str">
        <f>IF(COUNTIF(Receipts!$B$5:$B$510,A15)=0,"",IFERROR(LOOKUP(2,1/(Receipts!$B$5:$B$510=A15),Receipts!$C$5:$C$510),""))</f>
        <v/>
      </c>
      <c r="N15" s="6" t="str">
        <f t="shared" ca="1" si="2"/>
        <v/>
      </c>
      <c r="O15" s="11" t="str">
        <f t="shared" ca="1" si="3"/>
        <v/>
      </c>
      <c r="P15" s="5"/>
    </row>
    <row r="16" spans="1:16" x14ac:dyDescent="0.25">
      <c r="A16" s="5"/>
      <c r="B16" s="5"/>
      <c r="C16" s="6" t="str">
        <f>IFERROR(INDEX(Suppliers!$B$5:$B$104,MATCH(B16,Suppliers!$A$5:$A$104,0)),"")</f>
        <v/>
      </c>
      <c r="D16" s="5"/>
      <c r="E16" s="5"/>
      <c r="F16" s="7"/>
      <c r="G16" s="7"/>
      <c r="H16" s="8"/>
      <c r="I16" s="9"/>
      <c r="J16" s="10" t="str">
        <f t="shared" si="0"/>
        <v/>
      </c>
      <c r="K16" s="11" t="str">
        <f>IF(A16="","",SUMIF(Receipts!$B$5:$B$510,A16,Receipts!$D$5:$D$510))</f>
        <v/>
      </c>
      <c r="L16" s="11" t="str">
        <f t="shared" si="1"/>
        <v/>
      </c>
      <c r="M16" s="12" t="str">
        <f>IF(COUNTIF(Receipts!$B$5:$B$510,A16)=0,"",IFERROR(LOOKUP(2,1/(Receipts!$B$5:$B$510=A16),Receipts!$C$5:$C$510),""))</f>
        <v/>
      </c>
      <c r="N16" s="6" t="str">
        <f t="shared" ca="1" si="2"/>
        <v/>
      </c>
      <c r="O16" s="11" t="str">
        <f t="shared" ca="1" si="3"/>
        <v/>
      </c>
      <c r="P16" s="5"/>
    </row>
    <row r="17" spans="1:16" x14ac:dyDescent="0.25">
      <c r="A17" s="5"/>
      <c r="B17" s="5"/>
      <c r="C17" s="6" t="str">
        <f>IFERROR(INDEX(Suppliers!$B$5:$B$104,MATCH(B17,Suppliers!$A$5:$A$104,0)),"")</f>
        <v/>
      </c>
      <c r="D17" s="5"/>
      <c r="E17" s="5"/>
      <c r="F17" s="7"/>
      <c r="G17" s="7"/>
      <c r="H17" s="8"/>
      <c r="I17" s="9"/>
      <c r="J17" s="10" t="str">
        <f t="shared" si="0"/>
        <v/>
      </c>
      <c r="K17" s="11" t="str">
        <f>IF(A17="","",SUMIF(Receipts!$B$5:$B$510,A17,Receipts!$D$5:$D$510))</f>
        <v/>
      </c>
      <c r="L17" s="11" t="str">
        <f t="shared" si="1"/>
        <v/>
      </c>
      <c r="M17" s="12" t="str">
        <f>IF(COUNTIF(Receipts!$B$5:$B$510,A17)=0,"",IFERROR(LOOKUP(2,1/(Receipts!$B$5:$B$510=A17),Receipts!$C$5:$C$510),""))</f>
        <v/>
      </c>
      <c r="N17" s="6" t="str">
        <f t="shared" ca="1" si="2"/>
        <v/>
      </c>
      <c r="O17" s="11" t="str">
        <f t="shared" ca="1" si="3"/>
        <v/>
      </c>
      <c r="P17" s="5"/>
    </row>
    <row r="18" spans="1:16" x14ac:dyDescent="0.25">
      <c r="A18" s="5"/>
      <c r="B18" s="5"/>
      <c r="C18" s="6" t="str">
        <f>IFERROR(INDEX(Suppliers!$B$5:$B$104,MATCH(B18,Suppliers!$A$5:$A$104,0)),"")</f>
        <v/>
      </c>
      <c r="D18" s="5"/>
      <c r="E18" s="5"/>
      <c r="F18" s="7"/>
      <c r="G18" s="7"/>
      <c r="H18" s="8"/>
      <c r="I18" s="9"/>
      <c r="J18" s="10" t="str">
        <f t="shared" si="0"/>
        <v/>
      </c>
      <c r="K18" s="11" t="str">
        <f>IF(A18="","",SUMIF(Receipts!$B$5:$B$510,A18,Receipts!$D$5:$D$510))</f>
        <v/>
      </c>
      <c r="L18" s="11" t="str">
        <f t="shared" si="1"/>
        <v/>
      </c>
      <c r="M18" s="12" t="str">
        <f>IF(COUNTIF(Receipts!$B$5:$B$510,A18)=0,"",IFERROR(LOOKUP(2,1/(Receipts!$B$5:$B$510=A18),Receipts!$C$5:$C$510),""))</f>
        <v/>
      </c>
      <c r="N18" s="6" t="str">
        <f t="shared" ca="1" si="2"/>
        <v/>
      </c>
      <c r="O18" s="11" t="str">
        <f t="shared" ca="1" si="3"/>
        <v/>
      </c>
      <c r="P18" s="5"/>
    </row>
    <row r="19" spans="1:16" x14ac:dyDescent="0.25">
      <c r="A19" s="5"/>
      <c r="B19" s="5"/>
      <c r="C19" s="6" t="str">
        <f>IFERROR(INDEX(Suppliers!$B$5:$B$104,MATCH(B19,Suppliers!$A$5:$A$104,0)),"")</f>
        <v/>
      </c>
      <c r="D19" s="5"/>
      <c r="E19" s="5"/>
      <c r="F19" s="7"/>
      <c r="G19" s="7"/>
      <c r="H19" s="8"/>
      <c r="I19" s="9"/>
      <c r="J19" s="10" t="str">
        <f t="shared" si="0"/>
        <v/>
      </c>
      <c r="K19" s="11" t="str">
        <f>IF(A19="","",SUMIF(Receipts!$B$5:$B$510,A19,Receipts!$D$5:$D$510))</f>
        <v/>
      </c>
      <c r="L19" s="11" t="str">
        <f t="shared" si="1"/>
        <v/>
      </c>
      <c r="M19" s="12" t="str">
        <f>IF(COUNTIF(Receipts!$B$5:$B$510,A19)=0,"",IFERROR(LOOKUP(2,1/(Receipts!$B$5:$B$510=A19),Receipts!$C$5:$C$510),""))</f>
        <v/>
      </c>
      <c r="N19" s="6" t="str">
        <f t="shared" ca="1" si="2"/>
        <v/>
      </c>
      <c r="O19" s="11" t="str">
        <f t="shared" ca="1" si="3"/>
        <v/>
      </c>
      <c r="P19" s="5"/>
    </row>
    <row r="20" spans="1:16" x14ac:dyDescent="0.25">
      <c r="A20" s="5"/>
      <c r="B20" s="5"/>
      <c r="C20" s="6" t="str">
        <f>IFERROR(INDEX(Suppliers!$B$5:$B$104,MATCH(B20,Suppliers!$A$5:$A$104,0)),"")</f>
        <v/>
      </c>
      <c r="D20" s="5"/>
      <c r="E20" s="5"/>
      <c r="F20" s="7"/>
      <c r="G20" s="7"/>
      <c r="H20" s="8"/>
      <c r="I20" s="9"/>
      <c r="J20" s="10" t="str">
        <f t="shared" si="0"/>
        <v/>
      </c>
      <c r="K20" s="11" t="str">
        <f>IF(A20="","",SUMIF(Receipts!$B$5:$B$510,A20,Receipts!$D$5:$D$510))</f>
        <v/>
      </c>
      <c r="L20" s="11" t="str">
        <f t="shared" si="1"/>
        <v/>
      </c>
      <c r="M20" s="12" t="str">
        <f>IF(COUNTIF(Receipts!$B$5:$B$510,A20)=0,"",IFERROR(LOOKUP(2,1/(Receipts!$B$5:$B$510=A20),Receipts!$C$5:$C$510),""))</f>
        <v/>
      </c>
      <c r="N20" s="6" t="str">
        <f t="shared" ca="1" si="2"/>
        <v/>
      </c>
      <c r="O20" s="11" t="str">
        <f t="shared" ca="1" si="3"/>
        <v/>
      </c>
      <c r="P20" s="5"/>
    </row>
    <row r="21" spans="1:16" x14ac:dyDescent="0.25">
      <c r="A21" s="5"/>
      <c r="B21" s="5"/>
      <c r="C21" s="6" t="str">
        <f>IFERROR(INDEX(Suppliers!$B$5:$B$104,MATCH(B21,Suppliers!$A$5:$A$104,0)),"")</f>
        <v/>
      </c>
      <c r="D21" s="5"/>
      <c r="E21" s="5"/>
      <c r="F21" s="7"/>
      <c r="G21" s="7"/>
      <c r="H21" s="8"/>
      <c r="I21" s="9"/>
      <c r="J21" s="10" t="str">
        <f t="shared" si="0"/>
        <v/>
      </c>
      <c r="K21" s="11" t="str">
        <f>IF(A21="","",SUMIF(Receipts!$B$5:$B$510,A21,Receipts!$D$5:$D$510))</f>
        <v/>
      </c>
      <c r="L21" s="11" t="str">
        <f t="shared" si="1"/>
        <v/>
      </c>
      <c r="M21" s="12" t="str">
        <f>IF(COUNTIF(Receipts!$B$5:$B$510,A21)=0,"",IFERROR(LOOKUP(2,1/(Receipts!$B$5:$B$510=A21),Receipts!$C$5:$C$510),""))</f>
        <v/>
      </c>
      <c r="N21" s="6" t="str">
        <f t="shared" ca="1" si="2"/>
        <v/>
      </c>
      <c r="O21" s="11" t="str">
        <f t="shared" ca="1" si="3"/>
        <v/>
      </c>
      <c r="P21" s="5"/>
    </row>
    <row r="22" spans="1:16" x14ac:dyDescent="0.25">
      <c r="A22" s="5"/>
      <c r="B22" s="5"/>
      <c r="C22" s="6" t="str">
        <f>IFERROR(INDEX(Suppliers!$B$5:$B$104,MATCH(B22,Suppliers!$A$5:$A$104,0)),"")</f>
        <v/>
      </c>
      <c r="D22" s="5"/>
      <c r="E22" s="5"/>
      <c r="F22" s="7"/>
      <c r="G22" s="7"/>
      <c r="H22" s="8"/>
      <c r="I22" s="9"/>
      <c r="J22" s="10" t="str">
        <f t="shared" si="0"/>
        <v/>
      </c>
      <c r="K22" s="11" t="str">
        <f>IF(A22="","",SUMIF(Receipts!$B$5:$B$510,A22,Receipts!$D$5:$D$510))</f>
        <v/>
      </c>
      <c r="L22" s="11" t="str">
        <f t="shared" si="1"/>
        <v/>
      </c>
      <c r="M22" s="12" t="str">
        <f>IF(COUNTIF(Receipts!$B$5:$B$510,A22)=0,"",IFERROR(LOOKUP(2,1/(Receipts!$B$5:$B$510=A22),Receipts!$C$5:$C$510),""))</f>
        <v/>
      </c>
      <c r="N22" s="6" t="str">
        <f t="shared" ca="1" si="2"/>
        <v/>
      </c>
      <c r="O22" s="11" t="str">
        <f t="shared" ca="1" si="3"/>
        <v/>
      </c>
      <c r="P22" s="5"/>
    </row>
    <row r="23" spans="1:16" x14ac:dyDescent="0.25">
      <c r="A23" s="5"/>
      <c r="B23" s="5"/>
      <c r="C23" s="6" t="str">
        <f>IFERROR(INDEX(Suppliers!$B$5:$B$104,MATCH(B23,Suppliers!$A$5:$A$104,0)),"")</f>
        <v/>
      </c>
      <c r="D23" s="5"/>
      <c r="E23" s="5"/>
      <c r="F23" s="7"/>
      <c r="G23" s="7"/>
      <c r="H23" s="8"/>
      <c r="I23" s="9"/>
      <c r="J23" s="10" t="str">
        <f t="shared" si="0"/>
        <v/>
      </c>
      <c r="K23" s="11" t="str">
        <f>IF(A23="","",SUMIF(Receipts!$B$5:$B$510,A23,Receipts!$D$5:$D$510))</f>
        <v/>
      </c>
      <c r="L23" s="11" t="str">
        <f t="shared" si="1"/>
        <v/>
      </c>
      <c r="M23" s="12" t="str">
        <f>IF(COUNTIF(Receipts!$B$5:$B$510,A23)=0,"",IFERROR(LOOKUP(2,1/(Receipts!$B$5:$B$510=A23),Receipts!$C$5:$C$510),""))</f>
        <v/>
      </c>
      <c r="N23" s="6" t="str">
        <f t="shared" ca="1" si="2"/>
        <v/>
      </c>
      <c r="O23" s="11" t="str">
        <f t="shared" ca="1" si="3"/>
        <v/>
      </c>
      <c r="P23" s="5"/>
    </row>
    <row r="24" spans="1:16" x14ac:dyDescent="0.25">
      <c r="A24" s="5"/>
      <c r="B24" s="5"/>
      <c r="C24" s="6" t="str">
        <f>IFERROR(INDEX(Suppliers!$B$5:$B$104,MATCH(B24,Suppliers!$A$5:$A$104,0)),"")</f>
        <v/>
      </c>
      <c r="D24" s="5"/>
      <c r="E24" s="5"/>
      <c r="F24" s="7"/>
      <c r="G24" s="7"/>
      <c r="H24" s="8"/>
      <c r="I24" s="9"/>
      <c r="J24" s="10" t="str">
        <f t="shared" si="0"/>
        <v/>
      </c>
      <c r="K24" s="11" t="str">
        <f>IF(A24="","",SUMIF(Receipts!$B$5:$B$510,A24,Receipts!$D$5:$D$510))</f>
        <v/>
      </c>
      <c r="L24" s="11" t="str">
        <f t="shared" si="1"/>
        <v/>
      </c>
      <c r="M24" s="12" t="str">
        <f>IF(COUNTIF(Receipts!$B$5:$B$510,A24)=0,"",IFERROR(LOOKUP(2,1/(Receipts!$B$5:$B$510=A24),Receipts!$C$5:$C$510),""))</f>
        <v/>
      </c>
      <c r="N24" s="6" t="str">
        <f t="shared" ca="1" si="2"/>
        <v/>
      </c>
      <c r="O24" s="11" t="str">
        <f t="shared" ca="1" si="3"/>
        <v/>
      </c>
      <c r="P24" s="5"/>
    </row>
    <row r="25" spans="1:16" x14ac:dyDescent="0.25">
      <c r="A25" s="5"/>
      <c r="B25" s="5"/>
      <c r="C25" s="6" t="str">
        <f>IFERROR(INDEX(Suppliers!$B$5:$B$104,MATCH(B25,Suppliers!$A$5:$A$104,0)),"")</f>
        <v/>
      </c>
      <c r="D25" s="5"/>
      <c r="E25" s="5"/>
      <c r="F25" s="7"/>
      <c r="G25" s="7"/>
      <c r="H25" s="8"/>
      <c r="I25" s="9"/>
      <c r="J25" s="10" t="str">
        <f t="shared" si="0"/>
        <v/>
      </c>
      <c r="K25" s="11" t="str">
        <f>IF(A25="","",SUMIF(Receipts!$B$5:$B$510,A25,Receipts!$D$5:$D$510))</f>
        <v/>
      </c>
      <c r="L25" s="11" t="str">
        <f t="shared" si="1"/>
        <v/>
      </c>
      <c r="M25" s="12" t="str">
        <f>IF(COUNTIF(Receipts!$B$5:$B$510,A25)=0,"",IFERROR(LOOKUP(2,1/(Receipts!$B$5:$B$510=A25),Receipts!$C$5:$C$510),""))</f>
        <v/>
      </c>
      <c r="N25" s="6" t="str">
        <f t="shared" ca="1" si="2"/>
        <v/>
      </c>
      <c r="O25" s="11" t="str">
        <f t="shared" ca="1" si="3"/>
        <v/>
      </c>
      <c r="P25" s="5"/>
    </row>
    <row r="26" spans="1:16" x14ac:dyDescent="0.25">
      <c r="A26" s="5"/>
      <c r="B26" s="5"/>
      <c r="C26" s="6" t="str">
        <f>IFERROR(INDEX(Suppliers!$B$5:$B$104,MATCH(B26,Suppliers!$A$5:$A$104,0)),"")</f>
        <v/>
      </c>
      <c r="D26" s="5"/>
      <c r="E26" s="5"/>
      <c r="F26" s="7"/>
      <c r="G26" s="7"/>
      <c r="H26" s="8"/>
      <c r="I26" s="9"/>
      <c r="J26" s="10" t="str">
        <f t="shared" si="0"/>
        <v/>
      </c>
      <c r="K26" s="11" t="str">
        <f>IF(A26="","",SUMIF(Receipts!$B$5:$B$510,A26,Receipts!$D$5:$D$510))</f>
        <v/>
      </c>
      <c r="L26" s="11" t="str">
        <f t="shared" si="1"/>
        <v/>
      </c>
      <c r="M26" s="12" t="str">
        <f>IF(COUNTIF(Receipts!$B$5:$B$510,A26)=0,"",IFERROR(LOOKUP(2,1/(Receipts!$B$5:$B$510=A26),Receipts!$C$5:$C$510),""))</f>
        <v/>
      </c>
      <c r="N26" s="6" t="str">
        <f t="shared" ca="1" si="2"/>
        <v/>
      </c>
      <c r="O26" s="11" t="str">
        <f t="shared" ca="1" si="3"/>
        <v/>
      </c>
      <c r="P26" s="5"/>
    </row>
    <row r="27" spans="1:16" x14ac:dyDescent="0.25">
      <c r="A27" s="5"/>
      <c r="B27" s="5"/>
      <c r="C27" s="6" t="str">
        <f>IFERROR(INDEX(Suppliers!$B$5:$B$104,MATCH(B27,Suppliers!$A$5:$A$104,0)),"")</f>
        <v/>
      </c>
      <c r="D27" s="5"/>
      <c r="E27" s="5"/>
      <c r="F27" s="7"/>
      <c r="G27" s="7"/>
      <c r="H27" s="8"/>
      <c r="I27" s="9"/>
      <c r="J27" s="10" t="str">
        <f t="shared" si="0"/>
        <v/>
      </c>
      <c r="K27" s="11" t="str">
        <f>IF(A27="","",SUMIF(Receipts!$B$5:$B$510,A27,Receipts!$D$5:$D$510))</f>
        <v/>
      </c>
      <c r="L27" s="11" t="str">
        <f t="shared" si="1"/>
        <v/>
      </c>
      <c r="M27" s="12" t="str">
        <f>IF(COUNTIF(Receipts!$B$5:$B$510,A27)=0,"",IFERROR(LOOKUP(2,1/(Receipts!$B$5:$B$510=A27),Receipts!$C$5:$C$510),""))</f>
        <v/>
      </c>
      <c r="N27" s="6" t="str">
        <f t="shared" ca="1" si="2"/>
        <v/>
      </c>
      <c r="O27" s="11" t="str">
        <f t="shared" ca="1" si="3"/>
        <v/>
      </c>
      <c r="P27" s="5"/>
    </row>
    <row r="28" spans="1:16" x14ac:dyDescent="0.25">
      <c r="A28" s="5"/>
      <c r="B28" s="5"/>
      <c r="C28" s="6" t="str">
        <f>IFERROR(INDEX(Suppliers!$B$5:$B$104,MATCH(B28,Suppliers!$A$5:$A$104,0)),"")</f>
        <v/>
      </c>
      <c r="D28" s="5"/>
      <c r="E28" s="5"/>
      <c r="F28" s="7"/>
      <c r="G28" s="7"/>
      <c r="H28" s="8"/>
      <c r="I28" s="9"/>
      <c r="J28" s="10" t="str">
        <f t="shared" si="0"/>
        <v/>
      </c>
      <c r="K28" s="11" t="str">
        <f>IF(A28="","",SUMIF(Receipts!$B$5:$B$510,A28,Receipts!$D$5:$D$510))</f>
        <v/>
      </c>
      <c r="L28" s="11" t="str">
        <f t="shared" si="1"/>
        <v/>
      </c>
      <c r="M28" s="12" t="str">
        <f>IF(COUNTIF(Receipts!$B$5:$B$510,A28)=0,"",IFERROR(LOOKUP(2,1/(Receipts!$B$5:$B$510=A28),Receipts!$C$5:$C$510),""))</f>
        <v/>
      </c>
      <c r="N28" s="6" t="str">
        <f t="shared" ca="1" si="2"/>
        <v/>
      </c>
      <c r="O28" s="11" t="str">
        <f t="shared" ca="1" si="3"/>
        <v/>
      </c>
      <c r="P28" s="5"/>
    </row>
    <row r="29" spans="1:16" x14ac:dyDescent="0.25">
      <c r="A29" s="5"/>
      <c r="B29" s="5"/>
      <c r="C29" s="6" t="str">
        <f>IFERROR(INDEX(Suppliers!$B$5:$B$104,MATCH(B29,Suppliers!$A$5:$A$104,0)),"")</f>
        <v/>
      </c>
      <c r="D29" s="5"/>
      <c r="E29" s="5"/>
      <c r="F29" s="7"/>
      <c r="G29" s="7"/>
      <c r="H29" s="8"/>
      <c r="I29" s="9"/>
      <c r="J29" s="10" t="str">
        <f t="shared" si="0"/>
        <v/>
      </c>
      <c r="K29" s="11" t="str">
        <f>IF(A29="","",SUMIF(Receipts!$B$5:$B$510,A29,Receipts!$D$5:$D$510))</f>
        <v/>
      </c>
      <c r="L29" s="11" t="str">
        <f t="shared" si="1"/>
        <v/>
      </c>
      <c r="M29" s="12" t="str">
        <f>IF(COUNTIF(Receipts!$B$5:$B$510,A29)=0,"",IFERROR(LOOKUP(2,1/(Receipts!$B$5:$B$510=A29),Receipts!$C$5:$C$510),""))</f>
        <v/>
      </c>
      <c r="N29" s="6" t="str">
        <f t="shared" ca="1" si="2"/>
        <v/>
      </c>
      <c r="O29" s="11" t="str">
        <f t="shared" ca="1" si="3"/>
        <v/>
      </c>
      <c r="P29" s="5"/>
    </row>
    <row r="30" spans="1:16" x14ac:dyDescent="0.25">
      <c r="A30" s="5"/>
      <c r="B30" s="5"/>
      <c r="C30" s="6" t="str">
        <f>IFERROR(INDEX(Suppliers!$B$5:$B$104,MATCH(B30,Suppliers!$A$5:$A$104,0)),"")</f>
        <v/>
      </c>
      <c r="D30" s="5"/>
      <c r="E30" s="5"/>
      <c r="F30" s="7"/>
      <c r="G30" s="7"/>
      <c r="H30" s="8"/>
      <c r="I30" s="9"/>
      <c r="J30" s="10" t="str">
        <f t="shared" si="0"/>
        <v/>
      </c>
      <c r="K30" s="11" t="str">
        <f>IF(A30="","",SUMIF(Receipts!$B$5:$B$510,A30,Receipts!$D$5:$D$510))</f>
        <v/>
      </c>
      <c r="L30" s="11" t="str">
        <f t="shared" si="1"/>
        <v/>
      </c>
      <c r="M30" s="12" t="str">
        <f>IF(COUNTIF(Receipts!$B$5:$B$510,A30)=0,"",IFERROR(LOOKUP(2,1/(Receipts!$B$5:$B$510=A30),Receipts!$C$5:$C$510),""))</f>
        <v/>
      </c>
      <c r="N30" s="6" t="str">
        <f t="shared" ca="1" si="2"/>
        <v/>
      </c>
      <c r="O30" s="11" t="str">
        <f t="shared" ca="1" si="3"/>
        <v/>
      </c>
      <c r="P30" s="5"/>
    </row>
    <row r="31" spans="1:16" x14ac:dyDescent="0.25">
      <c r="A31" s="5"/>
      <c r="B31" s="5"/>
      <c r="C31" s="6" t="str">
        <f>IFERROR(INDEX(Suppliers!$B$5:$B$104,MATCH(B31,Suppliers!$A$5:$A$104,0)),"")</f>
        <v/>
      </c>
      <c r="D31" s="5"/>
      <c r="E31" s="5"/>
      <c r="F31" s="7"/>
      <c r="G31" s="7"/>
      <c r="H31" s="8"/>
      <c r="I31" s="9"/>
      <c r="J31" s="10" t="str">
        <f t="shared" si="0"/>
        <v/>
      </c>
      <c r="K31" s="11" t="str">
        <f>IF(A31="","",SUMIF(Receipts!$B$5:$B$510,A31,Receipts!$D$5:$D$510))</f>
        <v/>
      </c>
      <c r="L31" s="11" t="str">
        <f t="shared" si="1"/>
        <v/>
      </c>
      <c r="M31" s="12" t="str">
        <f>IF(COUNTIF(Receipts!$B$5:$B$510,A31)=0,"",IFERROR(LOOKUP(2,1/(Receipts!$B$5:$B$510=A31),Receipts!$C$5:$C$510),""))</f>
        <v/>
      </c>
      <c r="N31" s="6" t="str">
        <f t="shared" ca="1" si="2"/>
        <v/>
      </c>
      <c r="O31" s="11" t="str">
        <f t="shared" ca="1" si="3"/>
        <v/>
      </c>
      <c r="P31" s="5"/>
    </row>
    <row r="32" spans="1:16" x14ac:dyDescent="0.25">
      <c r="A32" s="5"/>
      <c r="B32" s="5"/>
      <c r="C32" s="6" t="str">
        <f>IFERROR(INDEX(Suppliers!$B$5:$B$104,MATCH(B32,Suppliers!$A$5:$A$104,0)),"")</f>
        <v/>
      </c>
      <c r="D32" s="5"/>
      <c r="E32" s="5"/>
      <c r="F32" s="7"/>
      <c r="G32" s="7"/>
      <c r="H32" s="8"/>
      <c r="I32" s="9"/>
      <c r="J32" s="10" t="str">
        <f t="shared" si="0"/>
        <v/>
      </c>
      <c r="K32" s="11" t="str">
        <f>IF(A32="","",SUMIF(Receipts!$B$5:$B$510,A32,Receipts!$D$5:$D$510))</f>
        <v/>
      </c>
      <c r="L32" s="11" t="str">
        <f t="shared" si="1"/>
        <v/>
      </c>
      <c r="M32" s="12" t="str">
        <f>IF(COUNTIF(Receipts!$B$5:$B$510,A32)=0,"",IFERROR(LOOKUP(2,1/(Receipts!$B$5:$B$510=A32),Receipts!$C$5:$C$510),""))</f>
        <v/>
      </c>
      <c r="N32" s="6" t="str">
        <f t="shared" ca="1" si="2"/>
        <v/>
      </c>
      <c r="O32" s="11" t="str">
        <f t="shared" ca="1" si="3"/>
        <v/>
      </c>
      <c r="P32" s="5"/>
    </row>
    <row r="33" spans="1:16" x14ac:dyDescent="0.25">
      <c r="A33" s="5"/>
      <c r="B33" s="5"/>
      <c r="C33" s="6" t="str">
        <f>IFERROR(INDEX(Suppliers!$B$5:$B$104,MATCH(B33,Suppliers!$A$5:$A$104,0)),"")</f>
        <v/>
      </c>
      <c r="D33" s="5"/>
      <c r="E33" s="5"/>
      <c r="F33" s="7"/>
      <c r="G33" s="7"/>
      <c r="H33" s="8"/>
      <c r="I33" s="9"/>
      <c r="J33" s="10" t="str">
        <f t="shared" si="0"/>
        <v/>
      </c>
      <c r="K33" s="11" t="str">
        <f>IF(A33="","",SUMIF(Receipts!$B$5:$B$510,A33,Receipts!$D$5:$D$510))</f>
        <v/>
      </c>
      <c r="L33" s="11" t="str">
        <f t="shared" si="1"/>
        <v/>
      </c>
      <c r="M33" s="12" t="str">
        <f>IF(COUNTIF(Receipts!$B$5:$B$510,A33)=0,"",IFERROR(LOOKUP(2,1/(Receipts!$B$5:$B$510=A33),Receipts!$C$5:$C$510),""))</f>
        <v/>
      </c>
      <c r="N33" s="6" t="str">
        <f t="shared" ca="1" si="2"/>
        <v/>
      </c>
      <c r="O33" s="11" t="str">
        <f t="shared" ca="1" si="3"/>
        <v/>
      </c>
      <c r="P33" s="5"/>
    </row>
    <row r="34" spans="1:16" x14ac:dyDescent="0.25">
      <c r="A34" s="5"/>
      <c r="B34" s="5"/>
      <c r="C34" s="6" t="str">
        <f>IFERROR(INDEX(Suppliers!$B$5:$B$104,MATCH(B34,Suppliers!$A$5:$A$104,0)),"")</f>
        <v/>
      </c>
      <c r="D34" s="5"/>
      <c r="E34" s="5"/>
      <c r="F34" s="7"/>
      <c r="G34" s="7"/>
      <c r="H34" s="8"/>
      <c r="I34" s="9"/>
      <c r="J34" s="10" t="str">
        <f t="shared" si="0"/>
        <v/>
      </c>
      <c r="K34" s="11" t="str">
        <f>IF(A34="","",SUMIF(Receipts!$B$5:$B$510,A34,Receipts!$D$5:$D$510))</f>
        <v/>
      </c>
      <c r="L34" s="11" t="str">
        <f t="shared" si="1"/>
        <v/>
      </c>
      <c r="M34" s="12" t="str">
        <f>IF(COUNTIF(Receipts!$B$5:$B$510,A34)=0,"",IFERROR(LOOKUP(2,1/(Receipts!$B$5:$B$510=A34),Receipts!$C$5:$C$510),""))</f>
        <v/>
      </c>
      <c r="N34" s="6" t="str">
        <f t="shared" ca="1" si="2"/>
        <v/>
      </c>
      <c r="O34" s="11" t="str">
        <f t="shared" ca="1" si="3"/>
        <v/>
      </c>
      <c r="P34" s="5"/>
    </row>
    <row r="35" spans="1:16" x14ac:dyDescent="0.25">
      <c r="A35" s="5"/>
      <c r="B35" s="5"/>
      <c r="C35" s="6" t="str">
        <f>IFERROR(INDEX(Suppliers!$B$5:$B$104,MATCH(B35,Suppliers!$A$5:$A$104,0)),"")</f>
        <v/>
      </c>
      <c r="D35" s="5"/>
      <c r="E35" s="5"/>
      <c r="F35" s="7"/>
      <c r="G35" s="7"/>
      <c r="H35" s="8"/>
      <c r="I35" s="9"/>
      <c r="J35" s="10" t="str">
        <f t="shared" si="0"/>
        <v/>
      </c>
      <c r="K35" s="11" t="str">
        <f>IF(A35="","",SUMIF(Receipts!$B$5:$B$510,A35,Receipts!$D$5:$D$510))</f>
        <v/>
      </c>
      <c r="L35" s="11" t="str">
        <f t="shared" si="1"/>
        <v/>
      </c>
      <c r="M35" s="12" t="str">
        <f>IF(COUNTIF(Receipts!$B$5:$B$510,A35)=0,"",IFERROR(LOOKUP(2,1/(Receipts!$B$5:$B$510=A35),Receipts!$C$5:$C$510),""))</f>
        <v/>
      </c>
      <c r="N35" s="6" t="str">
        <f t="shared" ca="1" si="2"/>
        <v/>
      </c>
      <c r="O35" s="11" t="str">
        <f t="shared" ca="1" si="3"/>
        <v/>
      </c>
      <c r="P35" s="5"/>
    </row>
    <row r="36" spans="1:16" x14ac:dyDescent="0.25">
      <c r="A36" s="5"/>
      <c r="B36" s="5"/>
      <c r="C36" s="6" t="str">
        <f>IFERROR(INDEX(Suppliers!$B$5:$B$104,MATCH(B36,Suppliers!$A$5:$A$104,0)),"")</f>
        <v/>
      </c>
      <c r="D36" s="5"/>
      <c r="E36" s="5"/>
      <c r="F36" s="7"/>
      <c r="G36" s="7"/>
      <c r="H36" s="8"/>
      <c r="I36" s="9"/>
      <c r="J36" s="10" t="str">
        <f t="shared" si="0"/>
        <v/>
      </c>
      <c r="K36" s="11" t="str">
        <f>IF(A36="","",SUMIF(Receipts!$B$5:$B$510,A36,Receipts!$D$5:$D$510))</f>
        <v/>
      </c>
      <c r="L36" s="11" t="str">
        <f t="shared" si="1"/>
        <v/>
      </c>
      <c r="M36" s="12" t="str">
        <f>IF(COUNTIF(Receipts!$B$5:$B$510,A36)=0,"",IFERROR(LOOKUP(2,1/(Receipts!$B$5:$B$510=A36),Receipts!$C$5:$C$510),""))</f>
        <v/>
      </c>
      <c r="N36" s="6" t="str">
        <f t="shared" ca="1" si="2"/>
        <v/>
      </c>
      <c r="O36" s="11" t="str">
        <f t="shared" ca="1" si="3"/>
        <v/>
      </c>
      <c r="P36" s="5"/>
    </row>
    <row r="37" spans="1:16" x14ac:dyDescent="0.25">
      <c r="A37" s="5"/>
      <c r="B37" s="5"/>
      <c r="C37" s="6" t="str">
        <f>IFERROR(INDEX(Suppliers!$B$5:$B$104,MATCH(B37,Suppliers!$A$5:$A$104,0)),"")</f>
        <v/>
      </c>
      <c r="D37" s="5"/>
      <c r="E37" s="5"/>
      <c r="F37" s="7"/>
      <c r="G37" s="7"/>
      <c r="H37" s="8"/>
      <c r="I37" s="9"/>
      <c r="J37" s="10" t="str">
        <f t="shared" si="0"/>
        <v/>
      </c>
      <c r="K37" s="11" t="str">
        <f>IF(A37="","",SUMIF(Receipts!$B$5:$B$510,A37,Receipts!$D$5:$D$510))</f>
        <v/>
      </c>
      <c r="L37" s="11" t="str">
        <f t="shared" si="1"/>
        <v/>
      </c>
      <c r="M37" s="12" t="str">
        <f>IF(COUNTIF(Receipts!$B$5:$B$510,A37)=0,"",IFERROR(LOOKUP(2,1/(Receipts!$B$5:$B$510=A37),Receipts!$C$5:$C$510),""))</f>
        <v/>
      </c>
      <c r="N37" s="6" t="str">
        <f t="shared" ca="1" si="2"/>
        <v/>
      </c>
      <c r="O37" s="11" t="str">
        <f t="shared" ca="1" si="3"/>
        <v/>
      </c>
      <c r="P37" s="5"/>
    </row>
    <row r="38" spans="1:16" x14ac:dyDescent="0.25">
      <c r="A38" s="5"/>
      <c r="B38" s="5"/>
      <c r="C38" s="6" t="str">
        <f>IFERROR(INDEX(Suppliers!$B$5:$B$104,MATCH(B38,Suppliers!$A$5:$A$104,0)),"")</f>
        <v/>
      </c>
      <c r="D38" s="5"/>
      <c r="E38" s="5"/>
      <c r="F38" s="7"/>
      <c r="G38" s="7"/>
      <c r="H38" s="8"/>
      <c r="I38" s="9"/>
      <c r="J38" s="10" t="str">
        <f t="shared" si="0"/>
        <v/>
      </c>
      <c r="K38" s="11" t="str">
        <f>IF(A38="","",SUMIF(Receipts!$B$5:$B$510,A38,Receipts!$D$5:$D$510))</f>
        <v/>
      </c>
      <c r="L38" s="11" t="str">
        <f t="shared" si="1"/>
        <v/>
      </c>
      <c r="M38" s="12" t="str">
        <f>IF(COUNTIF(Receipts!$B$5:$B$510,A38)=0,"",IFERROR(LOOKUP(2,1/(Receipts!$B$5:$B$510=A38),Receipts!$C$5:$C$510),""))</f>
        <v/>
      </c>
      <c r="N38" s="6" t="str">
        <f t="shared" ca="1" si="2"/>
        <v/>
      </c>
      <c r="O38" s="11" t="str">
        <f t="shared" ca="1" si="3"/>
        <v/>
      </c>
      <c r="P38" s="5"/>
    </row>
    <row r="39" spans="1:16" x14ac:dyDescent="0.25">
      <c r="A39" s="5"/>
      <c r="B39" s="5"/>
      <c r="C39" s="6" t="str">
        <f>IFERROR(INDEX(Suppliers!$B$5:$B$104,MATCH(B39,Suppliers!$A$5:$A$104,0)),"")</f>
        <v/>
      </c>
      <c r="D39" s="5"/>
      <c r="E39" s="5"/>
      <c r="F39" s="7"/>
      <c r="G39" s="7"/>
      <c r="H39" s="8"/>
      <c r="I39" s="9"/>
      <c r="J39" s="10" t="str">
        <f t="shared" si="0"/>
        <v/>
      </c>
      <c r="K39" s="11" t="str">
        <f>IF(A39="","",SUMIF(Receipts!$B$5:$B$510,A39,Receipts!$D$5:$D$510))</f>
        <v/>
      </c>
      <c r="L39" s="11" t="str">
        <f t="shared" si="1"/>
        <v/>
      </c>
      <c r="M39" s="12" t="str">
        <f>IF(COUNTIF(Receipts!$B$5:$B$510,A39)=0,"",IFERROR(LOOKUP(2,1/(Receipts!$B$5:$B$510=A39),Receipts!$C$5:$C$510),""))</f>
        <v/>
      </c>
      <c r="N39" s="6" t="str">
        <f t="shared" ca="1" si="2"/>
        <v/>
      </c>
      <c r="O39" s="11" t="str">
        <f t="shared" ca="1" si="3"/>
        <v/>
      </c>
      <c r="P39" s="5"/>
    </row>
    <row r="40" spans="1:16" x14ac:dyDescent="0.25">
      <c r="A40" s="5"/>
      <c r="B40" s="5"/>
      <c r="C40" s="6" t="str">
        <f>IFERROR(INDEX(Suppliers!$B$5:$B$104,MATCH(B40,Suppliers!$A$5:$A$104,0)),"")</f>
        <v/>
      </c>
      <c r="D40" s="5"/>
      <c r="E40" s="5"/>
      <c r="F40" s="7"/>
      <c r="G40" s="7"/>
      <c r="H40" s="8"/>
      <c r="I40" s="9"/>
      <c r="J40" s="10" t="str">
        <f t="shared" si="0"/>
        <v/>
      </c>
      <c r="K40" s="11" t="str">
        <f>IF(A40="","",SUMIF(Receipts!$B$5:$B$510,A40,Receipts!$D$5:$D$510))</f>
        <v/>
      </c>
      <c r="L40" s="11" t="str">
        <f t="shared" si="1"/>
        <v/>
      </c>
      <c r="M40" s="12" t="str">
        <f>IF(COUNTIF(Receipts!$B$5:$B$510,A40)=0,"",IFERROR(LOOKUP(2,1/(Receipts!$B$5:$B$510=A40),Receipts!$C$5:$C$510),""))</f>
        <v/>
      </c>
      <c r="N40" s="6" t="str">
        <f t="shared" ca="1" si="2"/>
        <v/>
      </c>
      <c r="O40" s="11" t="str">
        <f t="shared" ca="1" si="3"/>
        <v/>
      </c>
      <c r="P40" s="5"/>
    </row>
    <row r="41" spans="1:16" x14ac:dyDescent="0.25">
      <c r="A41" s="5"/>
      <c r="B41" s="5"/>
      <c r="C41" s="6" t="str">
        <f>IFERROR(INDEX(Suppliers!$B$5:$B$104,MATCH(B41,Suppliers!$A$5:$A$104,0)),"")</f>
        <v/>
      </c>
      <c r="D41" s="5"/>
      <c r="E41" s="5"/>
      <c r="F41" s="7"/>
      <c r="G41" s="7"/>
      <c r="H41" s="8"/>
      <c r="I41" s="9"/>
      <c r="J41" s="10" t="str">
        <f t="shared" si="0"/>
        <v/>
      </c>
      <c r="K41" s="11" t="str">
        <f>IF(A41="","",SUMIF(Receipts!$B$5:$B$510,A41,Receipts!$D$5:$D$510))</f>
        <v/>
      </c>
      <c r="L41" s="11" t="str">
        <f t="shared" si="1"/>
        <v/>
      </c>
      <c r="M41" s="12" t="str">
        <f>IF(COUNTIF(Receipts!$B$5:$B$510,A41)=0,"",IFERROR(LOOKUP(2,1/(Receipts!$B$5:$B$510=A41),Receipts!$C$5:$C$510),""))</f>
        <v/>
      </c>
      <c r="N41" s="6" t="str">
        <f t="shared" ca="1" si="2"/>
        <v/>
      </c>
      <c r="O41" s="11" t="str">
        <f t="shared" ca="1" si="3"/>
        <v/>
      </c>
      <c r="P41" s="5"/>
    </row>
    <row r="42" spans="1:16" x14ac:dyDescent="0.25">
      <c r="A42" s="5"/>
      <c r="B42" s="5"/>
      <c r="C42" s="6" t="str">
        <f>IFERROR(INDEX(Suppliers!$B$5:$B$104,MATCH(B42,Suppliers!$A$5:$A$104,0)),"")</f>
        <v/>
      </c>
      <c r="D42" s="5"/>
      <c r="E42" s="5"/>
      <c r="F42" s="7"/>
      <c r="G42" s="7"/>
      <c r="H42" s="8"/>
      <c r="I42" s="9"/>
      <c r="J42" s="10" t="str">
        <f t="shared" si="0"/>
        <v/>
      </c>
      <c r="K42" s="11" t="str">
        <f>IF(A42="","",SUMIF(Receipts!$B$5:$B$510,A42,Receipts!$D$5:$D$510))</f>
        <v/>
      </c>
      <c r="L42" s="11" t="str">
        <f t="shared" si="1"/>
        <v/>
      </c>
      <c r="M42" s="12" t="str">
        <f>IF(COUNTIF(Receipts!$B$5:$B$510,A42)=0,"",IFERROR(LOOKUP(2,1/(Receipts!$B$5:$B$510=A42),Receipts!$C$5:$C$510),""))</f>
        <v/>
      </c>
      <c r="N42" s="6" t="str">
        <f t="shared" ca="1" si="2"/>
        <v/>
      </c>
      <c r="O42" s="11" t="str">
        <f t="shared" ca="1" si="3"/>
        <v/>
      </c>
      <c r="P42" s="5"/>
    </row>
    <row r="43" spans="1:16" x14ac:dyDescent="0.25">
      <c r="A43" s="5"/>
      <c r="B43" s="5"/>
      <c r="C43" s="6" t="str">
        <f>IFERROR(INDEX(Suppliers!$B$5:$B$104,MATCH(B43,Suppliers!$A$5:$A$104,0)),"")</f>
        <v/>
      </c>
      <c r="D43" s="5"/>
      <c r="E43" s="5"/>
      <c r="F43" s="7"/>
      <c r="G43" s="7"/>
      <c r="H43" s="8"/>
      <c r="I43" s="9"/>
      <c r="J43" s="10" t="str">
        <f t="shared" si="0"/>
        <v/>
      </c>
      <c r="K43" s="11" t="str">
        <f>IF(A43="","",SUMIF(Receipts!$B$5:$B$510,A43,Receipts!$D$5:$D$510))</f>
        <v/>
      </c>
      <c r="L43" s="11" t="str">
        <f t="shared" si="1"/>
        <v/>
      </c>
      <c r="M43" s="12" t="str">
        <f>IF(COUNTIF(Receipts!$B$5:$B$510,A43)=0,"",IFERROR(LOOKUP(2,1/(Receipts!$B$5:$B$510=A43),Receipts!$C$5:$C$510),""))</f>
        <v/>
      </c>
      <c r="N43" s="6" t="str">
        <f t="shared" ca="1" si="2"/>
        <v/>
      </c>
      <c r="O43" s="11" t="str">
        <f t="shared" ca="1" si="3"/>
        <v/>
      </c>
      <c r="P43" s="5"/>
    </row>
    <row r="44" spans="1:16" x14ac:dyDescent="0.25">
      <c r="A44" s="5"/>
      <c r="B44" s="5"/>
      <c r="C44" s="6" t="str">
        <f>IFERROR(INDEX(Suppliers!$B$5:$B$104,MATCH(B44,Suppliers!$A$5:$A$104,0)),"")</f>
        <v/>
      </c>
      <c r="D44" s="5"/>
      <c r="E44" s="5"/>
      <c r="F44" s="7"/>
      <c r="G44" s="7"/>
      <c r="H44" s="8"/>
      <c r="I44" s="9"/>
      <c r="J44" s="10" t="str">
        <f t="shared" si="0"/>
        <v/>
      </c>
      <c r="K44" s="11" t="str">
        <f>IF(A44="","",SUMIF(Receipts!$B$5:$B$510,A44,Receipts!$D$5:$D$510))</f>
        <v/>
      </c>
      <c r="L44" s="11" t="str">
        <f t="shared" si="1"/>
        <v/>
      </c>
      <c r="M44" s="12" t="str">
        <f>IF(COUNTIF(Receipts!$B$5:$B$510,A44)=0,"",IFERROR(LOOKUP(2,1/(Receipts!$B$5:$B$510=A44),Receipts!$C$5:$C$510),""))</f>
        <v/>
      </c>
      <c r="N44" s="6" t="str">
        <f t="shared" ca="1" si="2"/>
        <v/>
      </c>
      <c r="O44" s="11" t="str">
        <f t="shared" ca="1" si="3"/>
        <v/>
      </c>
      <c r="P44" s="5"/>
    </row>
    <row r="45" spans="1:16" x14ac:dyDescent="0.25">
      <c r="A45" s="5"/>
      <c r="B45" s="5"/>
      <c r="C45" s="6" t="str">
        <f>IFERROR(INDEX(Suppliers!$B$5:$B$104,MATCH(B45,Suppliers!$A$5:$A$104,0)),"")</f>
        <v/>
      </c>
      <c r="D45" s="5"/>
      <c r="E45" s="5"/>
      <c r="F45" s="7"/>
      <c r="G45" s="7"/>
      <c r="H45" s="8"/>
      <c r="I45" s="9"/>
      <c r="J45" s="10" t="str">
        <f t="shared" si="0"/>
        <v/>
      </c>
      <c r="K45" s="11" t="str">
        <f>IF(A45="","",SUMIF(Receipts!$B$5:$B$510,A45,Receipts!$D$5:$D$510))</f>
        <v/>
      </c>
      <c r="L45" s="11" t="str">
        <f t="shared" si="1"/>
        <v/>
      </c>
      <c r="M45" s="12" t="str">
        <f>IF(COUNTIF(Receipts!$B$5:$B$510,A45)=0,"",IFERROR(LOOKUP(2,1/(Receipts!$B$5:$B$510=A45),Receipts!$C$5:$C$510),""))</f>
        <v/>
      </c>
      <c r="N45" s="6" t="str">
        <f t="shared" ca="1" si="2"/>
        <v/>
      </c>
      <c r="O45" s="11" t="str">
        <f t="shared" ca="1" si="3"/>
        <v/>
      </c>
      <c r="P45" s="5"/>
    </row>
    <row r="46" spans="1:16" x14ac:dyDescent="0.25">
      <c r="A46" s="5"/>
      <c r="B46" s="5"/>
      <c r="C46" s="6" t="str">
        <f>IFERROR(INDEX(Suppliers!$B$5:$B$104,MATCH(B46,Suppliers!$A$5:$A$104,0)),"")</f>
        <v/>
      </c>
      <c r="D46" s="5"/>
      <c r="E46" s="5"/>
      <c r="F46" s="7"/>
      <c r="G46" s="7"/>
      <c r="H46" s="8"/>
      <c r="I46" s="9"/>
      <c r="J46" s="10" t="str">
        <f t="shared" si="0"/>
        <v/>
      </c>
      <c r="K46" s="11" t="str">
        <f>IF(A46="","",SUMIF(Receipts!$B$5:$B$510,A46,Receipts!$D$5:$D$510))</f>
        <v/>
      </c>
      <c r="L46" s="11" t="str">
        <f t="shared" si="1"/>
        <v/>
      </c>
      <c r="M46" s="12" t="str">
        <f>IF(COUNTIF(Receipts!$B$5:$B$510,A46)=0,"",IFERROR(LOOKUP(2,1/(Receipts!$B$5:$B$510=A46),Receipts!$C$5:$C$510),""))</f>
        <v/>
      </c>
      <c r="N46" s="6" t="str">
        <f t="shared" ca="1" si="2"/>
        <v/>
      </c>
      <c r="O46" s="11" t="str">
        <f t="shared" ca="1" si="3"/>
        <v/>
      </c>
      <c r="P46" s="5"/>
    </row>
    <row r="47" spans="1:16" x14ac:dyDescent="0.25">
      <c r="A47" s="5"/>
      <c r="B47" s="5"/>
      <c r="C47" s="6" t="str">
        <f>IFERROR(INDEX(Suppliers!$B$5:$B$104,MATCH(B47,Suppliers!$A$5:$A$104,0)),"")</f>
        <v/>
      </c>
      <c r="D47" s="5"/>
      <c r="E47" s="5"/>
      <c r="F47" s="7"/>
      <c r="G47" s="7"/>
      <c r="H47" s="8"/>
      <c r="I47" s="9"/>
      <c r="J47" s="10" t="str">
        <f t="shared" si="0"/>
        <v/>
      </c>
      <c r="K47" s="11" t="str">
        <f>IF(A47="","",SUMIF(Receipts!$B$5:$B$510,A47,Receipts!$D$5:$D$510))</f>
        <v/>
      </c>
      <c r="L47" s="11" t="str">
        <f t="shared" si="1"/>
        <v/>
      </c>
      <c r="M47" s="12" t="str">
        <f>IF(COUNTIF(Receipts!$B$5:$B$510,A47)=0,"",IFERROR(LOOKUP(2,1/(Receipts!$B$5:$B$510=A47),Receipts!$C$5:$C$510),""))</f>
        <v/>
      </c>
      <c r="N47" s="6" t="str">
        <f t="shared" ca="1" si="2"/>
        <v/>
      </c>
      <c r="O47" s="11" t="str">
        <f t="shared" ca="1" si="3"/>
        <v/>
      </c>
      <c r="P47" s="5"/>
    </row>
    <row r="48" spans="1:16" x14ac:dyDescent="0.25">
      <c r="A48" s="5"/>
      <c r="B48" s="5"/>
      <c r="C48" s="6" t="str">
        <f>IFERROR(INDEX(Suppliers!$B$5:$B$104,MATCH(B48,Suppliers!$A$5:$A$104,0)),"")</f>
        <v/>
      </c>
      <c r="D48" s="5"/>
      <c r="E48" s="5"/>
      <c r="F48" s="7"/>
      <c r="G48" s="7"/>
      <c r="H48" s="8"/>
      <c r="I48" s="9"/>
      <c r="J48" s="10" t="str">
        <f t="shared" si="0"/>
        <v/>
      </c>
      <c r="K48" s="11" t="str">
        <f>IF(A48="","",SUMIF(Receipts!$B$5:$B$510,A48,Receipts!$D$5:$D$510))</f>
        <v/>
      </c>
      <c r="L48" s="11" t="str">
        <f t="shared" si="1"/>
        <v/>
      </c>
      <c r="M48" s="12" t="str">
        <f>IF(COUNTIF(Receipts!$B$5:$B$510,A48)=0,"",IFERROR(LOOKUP(2,1/(Receipts!$B$5:$B$510=A48),Receipts!$C$5:$C$510),""))</f>
        <v/>
      </c>
      <c r="N48" s="6" t="str">
        <f t="shared" ca="1" si="2"/>
        <v/>
      </c>
      <c r="O48" s="11" t="str">
        <f t="shared" ca="1" si="3"/>
        <v/>
      </c>
      <c r="P48" s="5"/>
    </row>
    <row r="49" spans="1:16" x14ac:dyDescent="0.25">
      <c r="A49" s="5"/>
      <c r="B49" s="5"/>
      <c r="C49" s="6" t="str">
        <f>IFERROR(INDEX(Suppliers!$B$5:$B$104,MATCH(B49,Suppliers!$A$5:$A$104,0)),"")</f>
        <v/>
      </c>
      <c r="D49" s="5"/>
      <c r="E49" s="5"/>
      <c r="F49" s="7"/>
      <c r="G49" s="7"/>
      <c r="H49" s="8"/>
      <c r="I49" s="9"/>
      <c r="J49" s="10" t="str">
        <f t="shared" si="0"/>
        <v/>
      </c>
      <c r="K49" s="11" t="str">
        <f>IF(A49="","",SUMIF(Receipts!$B$5:$B$510,A49,Receipts!$D$5:$D$510))</f>
        <v/>
      </c>
      <c r="L49" s="11" t="str">
        <f t="shared" si="1"/>
        <v/>
      </c>
      <c r="M49" s="12" t="str">
        <f>IF(COUNTIF(Receipts!$B$5:$B$510,A49)=0,"",IFERROR(LOOKUP(2,1/(Receipts!$B$5:$B$510=A49),Receipts!$C$5:$C$510),""))</f>
        <v/>
      </c>
      <c r="N49" s="6" t="str">
        <f t="shared" ca="1" si="2"/>
        <v/>
      </c>
      <c r="O49" s="11" t="str">
        <f t="shared" ca="1" si="3"/>
        <v/>
      </c>
      <c r="P49" s="5"/>
    </row>
    <row r="50" spans="1:16" x14ac:dyDescent="0.25">
      <c r="A50" s="5"/>
      <c r="B50" s="5"/>
      <c r="C50" s="6" t="str">
        <f>IFERROR(INDEX(Suppliers!$B$5:$B$104,MATCH(B50,Suppliers!$A$5:$A$104,0)),"")</f>
        <v/>
      </c>
      <c r="D50" s="5"/>
      <c r="E50" s="5"/>
      <c r="F50" s="7"/>
      <c r="G50" s="7"/>
      <c r="H50" s="8"/>
      <c r="I50" s="9"/>
      <c r="J50" s="10" t="str">
        <f t="shared" si="0"/>
        <v/>
      </c>
      <c r="K50" s="11" t="str">
        <f>IF(A50="","",SUMIF(Receipts!$B$5:$B$510,A50,Receipts!$D$5:$D$510))</f>
        <v/>
      </c>
      <c r="L50" s="11" t="str">
        <f t="shared" si="1"/>
        <v/>
      </c>
      <c r="M50" s="12" t="str">
        <f>IF(COUNTIF(Receipts!$B$5:$B$510,A50)=0,"",IFERROR(LOOKUP(2,1/(Receipts!$B$5:$B$510=A50),Receipts!$C$5:$C$510),""))</f>
        <v/>
      </c>
      <c r="N50" s="6" t="str">
        <f t="shared" ca="1" si="2"/>
        <v/>
      </c>
      <c r="O50" s="11" t="str">
        <f t="shared" ca="1" si="3"/>
        <v/>
      </c>
      <c r="P50" s="5"/>
    </row>
    <row r="51" spans="1:16" x14ac:dyDescent="0.25">
      <c r="A51" s="5"/>
      <c r="B51" s="5"/>
      <c r="C51" s="6" t="str">
        <f>IFERROR(INDEX(Suppliers!$B$5:$B$104,MATCH(B51,Suppliers!$A$5:$A$104,0)),"")</f>
        <v/>
      </c>
      <c r="D51" s="5"/>
      <c r="E51" s="5"/>
      <c r="F51" s="7"/>
      <c r="G51" s="7"/>
      <c r="H51" s="8"/>
      <c r="I51" s="9"/>
      <c r="J51" s="10" t="str">
        <f t="shared" si="0"/>
        <v/>
      </c>
      <c r="K51" s="11" t="str">
        <f>IF(A51="","",SUMIF(Receipts!$B$5:$B$510,A51,Receipts!$D$5:$D$510))</f>
        <v/>
      </c>
      <c r="L51" s="11" t="str">
        <f t="shared" si="1"/>
        <v/>
      </c>
      <c r="M51" s="12" t="str">
        <f>IF(COUNTIF(Receipts!$B$5:$B$510,A51)=0,"",IFERROR(LOOKUP(2,1/(Receipts!$B$5:$B$510=A51),Receipts!$C$5:$C$510),""))</f>
        <v/>
      </c>
      <c r="N51" s="6" t="str">
        <f t="shared" ca="1" si="2"/>
        <v/>
      </c>
      <c r="O51" s="11" t="str">
        <f t="shared" ca="1" si="3"/>
        <v/>
      </c>
      <c r="P51" s="5"/>
    </row>
    <row r="52" spans="1:16" x14ac:dyDescent="0.25">
      <c r="A52" s="5"/>
      <c r="B52" s="5"/>
      <c r="C52" s="6" t="str">
        <f>IFERROR(INDEX(Suppliers!$B$5:$B$104,MATCH(B52,Suppliers!$A$5:$A$104,0)),"")</f>
        <v/>
      </c>
      <c r="D52" s="5"/>
      <c r="E52" s="5"/>
      <c r="F52" s="7"/>
      <c r="G52" s="7"/>
      <c r="H52" s="8"/>
      <c r="I52" s="9"/>
      <c r="J52" s="10" t="str">
        <f t="shared" si="0"/>
        <v/>
      </c>
      <c r="K52" s="11" t="str">
        <f>IF(A52="","",SUMIF(Receipts!$B$5:$B$510,A52,Receipts!$D$5:$D$510))</f>
        <v/>
      </c>
      <c r="L52" s="11" t="str">
        <f t="shared" si="1"/>
        <v/>
      </c>
      <c r="M52" s="12" t="str">
        <f>IF(COUNTIF(Receipts!$B$5:$B$510,A52)=0,"",IFERROR(LOOKUP(2,1/(Receipts!$B$5:$B$510=A52),Receipts!$C$5:$C$510),""))</f>
        <v/>
      </c>
      <c r="N52" s="6" t="str">
        <f t="shared" ca="1" si="2"/>
        <v/>
      </c>
      <c r="O52" s="11" t="str">
        <f t="shared" ca="1" si="3"/>
        <v/>
      </c>
      <c r="P52" s="5"/>
    </row>
    <row r="53" spans="1:16" x14ac:dyDescent="0.25">
      <c r="A53" s="5"/>
      <c r="B53" s="5"/>
      <c r="C53" s="6" t="str">
        <f>IFERROR(INDEX(Suppliers!$B$5:$B$104,MATCH(B53,Suppliers!$A$5:$A$104,0)),"")</f>
        <v/>
      </c>
      <c r="D53" s="5"/>
      <c r="E53" s="5"/>
      <c r="F53" s="7"/>
      <c r="G53" s="7"/>
      <c r="H53" s="8"/>
      <c r="I53" s="9"/>
      <c r="J53" s="10" t="str">
        <f t="shared" si="0"/>
        <v/>
      </c>
      <c r="K53" s="11" t="str">
        <f>IF(A53="","",SUMIF(Receipts!$B$5:$B$510,A53,Receipts!$D$5:$D$510))</f>
        <v/>
      </c>
      <c r="L53" s="11" t="str">
        <f t="shared" si="1"/>
        <v/>
      </c>
      <c r="M53" s="12" t="str">
        <f>IF(COUNTIF(Receipts!$B$5:$B$510,A53)=0,"",IFERROR(LOOKUP(2,1/(Receipts!$B$5:$B$510=A53),Receipts!$C$5:$C$510),""))</f>
        <v/>
      </c>
      <c r="N53" s="6" t="str">
        <f t="shared" ca="1" si="2"/>
        <v/>
      </c>
      <c r="O53" s="11" t="str">
        <f t="shared" ca="1" si="3"/>
        <v/>
      </c>
      <c r="P53" s="5"/>
    </row>
    <row r="54" spans="1:16" x14ac:dyDescent="0.25">
      <c r="A54" s="5"/>
      <c r="B54" s="5"/>
      <c r="C54" s="6" t="str">
        <f>IFERROR(INDEX(Suppliers!$B$5:$B$104,MATCH(B54,Suppliers!$A$5:$A$104,0)),"")</f>
        <v/>
      </c>
      <c r="D54" s="5"/>
      <c r="E54" s="5"/>
      <c r="F54" s="7"/>
      <c r="G54" s="7"/>
      <c r="H54" s="8"/>
      <c r="I54" s="9"/>
      <c r="J54" s="10" t="str">
        <f t="shared" si="0"/>
        <v/>
      </c>
      <c r="K54" s="11" t="str">
        <f>IF(A54="","",SUMIF(Receipts!$B$5:$B$510,A54,Receipts!$D$5:$D$510))</f>
        <v/>
      </c>
      <c r="L54" s="11" t="str">
        <f t="shared" si="1"/>
        <v/>
      </c>
      <c r="M54" s="12" t="str">
        <f>IF(COUNTIF(Receipts!$B$5:$B$510,A54)=0,"",IFERROR(LOOKUP(2,1/(Receipts!$B$5:$B$510=A54),Receipts!$C$5:$C$510),""))</f>
        <v/>
      </c>
      <c r="N54" s="6" t="str">
        <f t="shared" ca="1" si="2"/>
        <v/>
      </c>
      <c r="O54" s="11" t="str">
        <f t="shared" ca="1" si="3"/>
        <v/>
      </c>
      <c r="P54" s="5"/>
    </row>
    <row r="55" spans="1:16" x14ac:dyDescent="0.25">
      <c r="A55" s="5"/>
      <c r="B55" s="5"/>
      <c r="C55" s="6" t="str">
        <f>IFERROR(INDEX(Suppliers!$B$5:$B$104,MATCH(B55,Suppliers!$A$5:$A$104,0)),"")</f>
        <v/>
      </c>
      <c r="D55" s="5"/>
      <c r="E55" s="5"/>
      <c r="F55" s="7"/>
      <c r="G55" s="7"/>
      <c r="H55" s="8"/>
      <c r="I55" s="9"/>
      <c r="J55" s="10" t="str">
        <f t="shared" si="0"/>
        <v/>
      </c>
      <c r="K55" s="11" t="str">
        <f>IF(A55="","",SUMIF(Receipts!$B$5:$B$510,A55,Receipts!$D$5:$D$510))</f>
        <v/>
      </c>
      <c r="L55" s="11" t="str">
        <f t="shared" si="1"/>
        <v/>
      </c>
      <c r="M55" s="12" t="str">
        <f>IF(COUNTIF(Receipts!$B$5:$B$510,A55)=0,"",IFERROR(LOOKUP(2,1/(Receipts!$B$5:$B$510=A55),Receipts!$C$5:$C$510),""))</f>
        <v/>
      </c>
      <c r="N55" s="6" t="str">
        <f t="shared" ca="1" si="2"/>
        <v/>
      </c>
      <c r="O55" s="11" t="str">
        <f t="shared" ca="1" si="3"/>
        <v/>
      </c>
      <c r="P55" s="5"/>
    </row>
    <row r="56" spans="1:16" x14ac:dyDescent="0.25">
      <c r="A56" s="5"/>
      <c r="B56" s="5"/>
      <c r="C56" s="6" t="str">
        <f>IFERROR(INDEX(Suppliers!$B$5:$B$104,MATCH(B56,Suppliers!$A$5:$A$104,0)),"")</f>
        <v/>
      </c>
      <c r="D56" s="5"/>
      <c r="E56" s="5"/>
      <c r="F56" s="7"/>
      <c r="G56" s="7"/>
      <c r="H56" s="8"/>
      <c r="I56" s="9"/>
      <c r="J56" s="10" t="str">
        <f t="shared" si="0"/>
        <v/>
      </c>
      <c r="K56" s="11" t="str">
        <f>IF(A56="","",SUMIF(Receipts!$B$5:$B$510,A56,Receipts!$D$5:$D$510))</f>
        <v/>
      </c>
      <c r="L56" s="11" t="str">
        <f t="shared" si="1"/>
        <v/>
      </c>
      <c r="M56" s="12" t="str">
        <f>IF(COUNTIF(Receipts!$B$5:$B$510,A56)=0,"",IFERROR(LOOKUP(2,1/(Receipts!$B$5:$B$510=A56),Receipts!$C$5:$C$510),""))</f>
        <v/>
      </c>
      <c r="N56" s="6" t="str">
        <f t="shared" ca="1" si="2"/>
        <v/>
      </c>
      <c r="O56" s="11" t="str">
        <f t="shared" ca="1" si="3"/>
        <v/>
      </c>
      <c r="P56" s="5"/>
    </row>
    <row r="57" spans="1:16" x14ac:dyDescent="0.25">
      <c r="A57" s="5"/>
      <c r="B57" s="5"/>
      <c r="C57" s="6" t="str">
        <f>IFERROR(INDEX(Suppliers!$B$5:$B$104,MATCH(B57,Suppliers!$A$5:$A$104,0)),"")</f>
        <v/>
      </c>
      <c r="D57" s="5"/>
      <c r="E57" s="5"/>
      <c r="F57" s="7"/>
      <c r="G57" s="7"/>
      <c r="H57" s="8"/>
      <c r="I57" s="9"/>
      <c r="J57" s="10" t="str">
        <f t="shared" si="0"/>
        <v/>
      </c>
      <c r="K57" s="11" t="str">
        <f>IF(A57="","",SUMIF(Receipts!$B$5:$B$510,A57,Receipts!$D$5:$D$510))</f>
        <v/>
      </c>
      <c r="L57" s="11" t="str">
        <f t="shared" si="1"/>
        <v/>
      </c>
      <c r="M57" s="12" t="str">
        <f>IF(COUNTIF(Receipts!$B$5:$B$510,A57)=0,"",IFERROR(LOOKUP(2,1/(Receipts!$B$5:$B$510=A57),Receipts!$C$5:$C$510),""))</f>
        <v/>
      </c>
      <c r="N57" s="6" t="str">
        <f t="shared" ca="1" si="2"/>
        <v/>
      </c>
      <c r="O57" s="11" t="str">
        <f t="shared" ca="1" si="3"/>
        <v/>
      </c>
      <c r="P57" s="5"/>
    </row>
    <row r="58" spans="1:16" x14ac:dyDescent="0.25">
      <c r="A58" s="5"/>
      <c r="B58" s="5"/>
      <c r="C58" s="6" t="str">
        <f>IFERROR(INDEX(Suppliers!$B$5:$B$104,MATCH(B58,Suppliers!$A$5:$A$104,0)),"")</f>
        <v/>
      </c>
      <c r="D58" s="5"/>
      <c r="E58" s="5"/>
      <c r="F58" s="7"/>
      <c r="G58" s="7"/>
      <c r="H58" s="8"/>
      <c r="I58" s="9"/>
      <c r="J58" s="10" t="str">
        <f t="shared" si="0"/>
        <v/>
      </c>
      <c r="K58" s="11" t="str">
        <f>IF(A58="","",SUMIF(Receipts!$B$5:$B$510,A58,Receipts!$D$5:$D$510))</f>
        <v/>
      </c>
      <c r="L58" s="11" t="str">
        <f t="shared" si="1"/>
        <v/>
      </c>
      <c r="M58" s="12" t="str">
        <f>IF(COUNTIF(Receipts!$B$5:$B$510,A58)=0,"",IFERROR(LOOKUP(2,1/(Receipts!$B$5:$B$510=A58),Receipts!$C$5:$C$510),""))</f>
        <v/>
      </c>
      <c r="N58" s="6" t="str">
        <f t="shared" ca="1" si="2"/>
        <v/>
      </c>
      <c r="O58" s="11" t="str">
        <f t="shared" ca="1" si="3"/>
        <v/>
      </c>
      <c r="P58" s="5"/>
    </row>
    <row r="59" spans="1:16" x14ac:dyDescent="0.25">
      <c r="A59" s="5"/>
      <c r="B59" s="5"/>
      <c r="C59" s="6" t="str">
        <f>IFERROR(INDEX(Suppliers!$B$5:$B$104,MATCH(B59,Suppliers!$A$5:$A$104,0)),"")</f>
        <v/>
      </c>
      <c r="D59" s="5"/>
      <c r="E59" s="5"/>
      <c r="F59" s="7"/>
      <c r="G59" s="7"/>
      <c r="H59" s="8"/>
      <c r="I59" s="9"/>
      <c r="J59" s="10" t="str">
        <f t="shared" si="0"/>
        <v/>
      </c>
      <c r="K59" s="11" t="str">
        <f>IF(A59="","",SUMIF(Receipts!$B$5:$B$510,A59,Receipts!$D$5:$D$510))</f>
        <v/>
      </c>
      <c r="L59" s="11" t="str">
        <f t="shared" si="1"/>
        <v/>
      </c>
      <c r="M59" s="12" t="str">
        <f>IF(COUNTIF(Receipts!$B$5:$B$510,A59)=0,"",IFERROR(LOOKUP(2,1/(Receipts!$B$5:$B$510=A59),Receipts!$C$5:$C$510),""))</f>
        <v/>
      </c>
      <c r="N59" s="6" t="str">
        <f t="shared" ca="1" si="2"/>
        <v/>
      </c>
      <c r="O59" s="11" t="str">
        <f t="shared" ca="1" si="3"/>
        <v/>
      </c>
      <c r="P59" s="5"/>
    </row>
    <row r="60" spans="1:16" x14ac:dyDescent="0.25">
      <c r="A60" s="5"/>
      <c r="B60" s="5"/>
      <c r="C60" s="6" t="str">
        <f>IFERROR(INDEX(Suppliers!$B$5:$B$104,MATCH(B60,Suppliers!$A$5:$A$104,0)),"")</f>
        <v/>
      </c>
      <c r="D60" s="5"/>
      <c r="E60" s="5"/>
      <c r="F60" s="7"/>
      <c r="G60" s="7"/>
      <c r="H60" s="8"/>
      <c r="I60" s="9"/>
      <c r="J60" s="10" t="str">
        <f t="shared" si="0"/>
        <v/>
      </c>
      <c r="K60" s="11" t="str">
        <f>IF(A60="","",SUMIF(Receipts!$B$5:$B$510,A60,Receipts!$D$5:$D$510))</f>
        <v/>
      </c>
      <c r="L60" s="11" t="str">
        <f t="shared" si="1"/>
        <v/>
      </c>
      <c r="M60" s="12" t="str">
        <f>IF(COUNTIF(Receipts!$B$5:$B$510,A60)=0,"",IFERROR(LOOKUP(2,1/(Receipts!$B$5:$B$510=A60),Receipts!$C$5:$C$510),""))</f>
        <v/>
      </c>
      <c r="N60" s="6" t="str">
        <f t="shared" ca="1" si="2"/>
        <v/>
      </c>
      <c r="O60" s="11" t="str">
        <f t="shared" ca="1" si="3"/>
        <v/>
      </c>
      <c r="P60" s="5"/>
    </row>
    <row r="61" spans="1:16" x14ac:dyDescent="0.25">
      <c r="A61" s="5"/>
      <c r="B61" s="5"/>
      <c r="C61" s="6" t="str">
        <f>IFERROR(INDEX(Suppliers!$B$5:$B$104,MATCH(B61,Suppliers!$A$5:$A$104,0)),"")</f>
        <v/>
      </c>
      <c r="D61" s="5"/>
      <c r="E61" s="5"/>
      <c r="F61" s="7"/>
      <c r="G61" s="7"/>
      <c r="H61" s="8"/>
      <c r="I61" s="9"/>
      <c r="J61" s="10" t="str">
        <f t="shared" si="0"/>
        <v/>
      </c>
      <c r="K61" s="11" t="str">
        <f>IF(A61="","",SUMIF(Receipts!$B$5:$B$510,A61,Receipts!$D$5:$D$510))</f>
        <v/>
      </c>
      <c r="L61" s="11" t="str">
        <f t="shared" si="1"/>
        <v/>
      </c>
      <c r="M61" s="12" t="str">
        <f>IF(COUNTIF(Receipts!$B$5:$B$510,A61)=0,"",IFERROR(LOOKUP(2,1/(Receipts!$B$5:$B$510=A61),Receipts!$C$5:$C$510),""))</f>
        <v/>
      </c>
      <c r="N61" s="6" t="str">
        <f t="shared" ca="1" si="2"/>
        <v/>
      </c>
      <c r="O61" s="11" t="str">
        <f t="shared" ca="1" si="3"/>
        <v/>
      </c>
      <c r="P61" s="5"/>
    </row>
    <row r="62" spans="1:16" x14ac:dyDescent="0.25">
      <c r="A62" s="5"/>
      <c r="B62" s="5"/>
      <c r="C62" s="6" t="str">
        <f>IFERROR(INDEX(Suppliers!$B$5:$B$104,MATCH(B62,Suppliers!$A$5:$A$104,0)),"")</f>
        <v/>
      </c>
      <c r="D62" s="5"/>
      <c r="E62" s="5"/>
      <c r="F62" s="7"/>
      <c r="G62" s="7"/>
      <c r="H62" s="8"/>
      <c r="I62" s="9"/>
      <c r="J62" s="10" t="str">
        <f t="shared" si="0"/>
        <v/>
      </c>
      <c r="K62" s="11" t="str">
        <f>IF(A62="","",SUMIF(Receipts!$B$5:$B$510,A62,Receipts!$D$5:$D$510))</f>
        <v/>
      </c>
      <c r="L62" s="11" t="str">
        <f t="shared" si="1"/>
        <v/>
      </c>
      <c r="M62" s="12" t="str">
        <f>IF(COUNTIF(Receipts!$B$5:$B$510,A62)=0,"",IFERROR(LOOKUP(2,1/(Receipts!$B$5:$B$510=A62),Receipts!$C$5:$C$510),""))</f>
        <v/>
      </c>
      <c r="N62" s="6" t="str">
        <f t="shared" ca="1" si="2"/>
        <v/>
      </c>
      <c r="O62" s="11" t="str">
        <f t="shared" ca="1" si="3"/>
        <v/>
      </c>
      <c r="P62" s="5"/>
    </row>
    <row r="63" spans="1:16" x14ac:dyDescent="0.25">
      <c r="A63" s="5"/>
      <c r="B63" s="5"/>
      <c r="C63" s="6" t="str">
        <f>IFERROR(INDEX(Suppliers!$B$5:$B$104,MATCH(B63,Suppliers!$A$5:$A$104,0)),"")</f>
        <v/>
      </c>
      <c r="D63" s="5"/>
      <c r="E63" s="5"/>
      <c r="F63" s="7"/>
      <c r="G63" s="7"/>
      <c r="H63" s="8"/>
      <c r="I63" s="9"/>
      <c r="J63" s="10" t="str">
        <f t="shared" si="0"/>
        <v/>
      </c>
      <c r="K63" s="11" t="str">
        <f>IF(A63="","",SUMIF(Receipts!$B$5:$B$510,A63,Receipts!$D$5:$D$510))</f>
        <v/>
      </c>
      <c r="L63" s="11" t="str">
        <f t="shared" si="1"/>
        <v/>
      </c>
      <c r="M63" s="12" t="str">
        <f>IF(COUNTIF(Receipts!$B$5:$B$510,A63)=0,"",IFERROR(LOOKUP(2,1/(Receipts!$B$5:$B$510=A63),Receipts!$C$5:$C$510),""))</f>
        <v/>
      </c>
      <c r="N63" s="6" t="str">
        <f t="shared" ca="1" si="2"/>
        <v/>
      </c>
      <c r="O63" s="11" t="str">
        <f t="shared" ca="1" si="3"/>
        <v/>
      </c>
      <c r="P63" s="5"/>
    </row>
    <row r="64" spans="1:16" x14ac:dyDescent="0.25">
      <c r="A64" s="5"/>
      <c r="B64" s="5"/>
      <c r="C64" s="6" t="str">
        <f>IFERROR(INDEX(Suppliers!$B$5:$B$104,MATCH(B64,Suppliers!$A$5:$A$104,0)),"")</f>
        <v/>
      </c>
      <c r="D64" s="5"/>
      <c r="E64" s="5"/>
      <c r="F64" s="7"/>
      <c r="G64" s="7"/>
      <c r="H64" s="8"/>
      <c r="I64" s="9"/>
      <c r="J64" s="10" t="str">
        <f t="shared" si="0"/>
        <v/>
      </c>
      <c r="K64" s="11" t="str">
        <f>IF(A64="","",SUMIF(Receipts!$B$5:$B$510,A64,Receipts!$D$5:$D$510))</f>
        <v/>
      </c>
      <c r="L64" s="11" t="str">
        <f t="shared" si="1"/>
        <v/>
      </c>
      <c r="M64" s="12" t="str">
        <f>IF(COUNTIF(Receipts!$B$5:$B$510,A64)=0,"",IFERROR(LOOKUP(2,1/(Receipts!$B$5:$B$510=A64),Receipts!$C$5:$C$510),""))</f>
        <v/>
      </c>
      <c r="N64" s="6" t="str">
        <f t="shared" ca="1" si="2"/>
        <v/>
      </c>
      <c r="O64" s="11" t="str">
        <f t="shared" ca="1" si="3"/>
        <v/>
      </c>
      <c r="P64" s="5"/>
    </row>
    <row r="65" spans="1:16" x14ac:dyDescent="0.25">
      <c r="A65" s="5"/>
      <c r="B65" s="5"/>
      <c r="C65" s="6" t="str">
        <f>IFERROR(INDEX(Suppliers!$B$5:$B$104,MATCH(B65,Suppliers!$A$5:$A$104,0)),"")</f>
        <v/>
      </c>
      <c r="D65" s="5"/>
      <c r="E65" s="5"/>
      <c r="F65" s="7"/>
      <c r="G65" s="7"/>
      <c r="H65" s="8"/>
      <c r="I65" s="9"/>
      <c r="J65" s="10" t="str">
        <f t="shared" si="0"/>
        <v/>
      </c>
      <c r="K65" s="11" t="str">
        <f>IF(A65="","",SUMIF(Receipts!$B$5:$B$510,A65,Receipts!$D$5:$D$510))</f>
        <v/>
      </c>
      <c r="L65" s="11" t="str">
        <f t="shared" si="1"/>
        <v/>
      </c>
      <c r="M65" s="12" t="str">
        <f>IF(COUNTIF(Receipts!$B$5:$B$510,A65)=0,"",IFERROR(LOOKUP(2,1/(Receipts!$B$5:$B$510=A65),Receipts!$C$5:$C$510),""))</f>
        <v/>
      </c>
      <c r="N65" s="6" t="str">
        <f t="shared" ca="1" si="2"/>
        <v/>
      </c>
      <c r="O65" s="11" t="str">
        <f t="shared" ca="1" si="3"/>
        <v/>
      </c>
      <c r="P65" s="5"/>
    </row>
    <row r="66" spans="1:16" x14ac:dyDescent="0.25">
      <c r="A66" s="5"/>
      <c r="B66" s="5"/>
      <c r="C66" s="6" t="str">
        <f>IFERROR(INDEX(Suppliers!$B$5:$B$104,MATCH(B66,Suppliers!$A$5:$A$104,0)),"")</f>
        <v/>
      </c>
      <c r="D66" s="5"/>
      <c r="E66" s="5"/>
      <c r="F66" s="7"/>
      <c r="G66" s="7"/>
      <c r="H66" s="8"/>
      <c r="I66" s="9"/>
      <c r="J66" s="10" t="str">
        <f t="shared" si="0"/>
        <v/>
      </c>
      <c r="K66" s="11" t="str">
        <f>IF(A66="","",SUMIF(Receipts!$B$5:$B$510,A66,Receipts!$D$5:$D$510))</f>
        <v/>
      </c>
      <c r="L66" s="11" t="str">
        <f t="shared" si="1"/>
        <v/>
      </c>
      <c r="M66" s="12" t="str">
        <f>IF(COUNTIF(Receipts!$B$5:$B$510,A66)=0,"",IFERROR(LOOKUP(2,1/(Receipts!$B$5:$B$510=A66),Receipts!$C$5:$C$510),""))</f>
        <v/>
      </c>
      <c r="N66" s="6" t="str">
        <f t="shared" ca="1" si="2"/>
        <v/>
      </c>
      <c r="O66" s="11" t="str">
        <f t="shared" ca="1" si="3"/>
        <v/>
      </c>
      <c r="P66" s="5"/>
    </row>
    <row r="67" spans="1:16" x14ac:dyDescent="0.25">
      <c r="A67" s="5"/>
      <c r="B67" s="5"/>
      <c r="C67" s="6" t="str">
        <f>IFERROR(INDEX(Suppliers!$B$5:$B$104,MATCH(B67,Suppliers!$A$5:$A$104,0)),"")</f>
        <v/>
      </c>
      <c r="D67" s="5"/>
      <c r="E67" s="5"/>
      <c r="F67" s="7"/>
      <c r="G67" s="7"/>
      <c r="H67" s="8"/>
      <c r="I67" s="9"/>
      <c r="J67" s="10" t="str">
        <f t="shared" si="0"/>
        <v/>
      </c>
      <c r="K67" s="11" t="str">
        <f>IF(A67="","",SUMIF(Receipts!$B$5:$B$510,A67,Receipts!$D$5:$D$510))</f>
        <v/>
      </c>
      <c r="L67" s="11" t="str">
        <f t="shared" si="1"/>
        <v/>
      </c>
      <c r="M67" s="12" t="str">
        <f>IF(COUNTIF(Receipts!$B$5:$B$510,A67)=0,"",IFERROR(LOOKUP(2,1/(Receipts!$B$5:$B$510=A67),Receipts!$C$5:$C$510),""))</f>
        <v/>
      </c>
      <c r="N67" s="6" t="str">
        <f t="shared" ca="1" si="2"/>
        <v/>
      </c>
      <c r="O67" s="11" t="str">
        <f t="shared" ca="1" si="3"/>
        <v/>
      </c>
      <c r="P67" s="5"/>
    </row>
    <row r="68" spans="1:16" x14ac:dyDescent="0.25">
      <c r="A68" s="5"/>
      <c r="B68" s="5"/>
      <c r="C68" s="6" t="str">
        <f>IFERROR(INDEX(Suppliers!$B$5:$B$104,MATCH(B68,Suppliers!$A$5:$A$104,0)),"")</f>
        <v/>
      </c>
      <c r="D68" s="5"/>
      <c r="E68" s="5"/>
      <c r="F68" s="7"/>
      <c r="G68" s="7"/>
      <c r="H68" s="8"/>
      <c r="I68" s="9"/>
      <c r="J68" s="10" t="str">
        <f t="shared" si="0"/>
        <v/>
      </c>
      <c r="K68" s="11" t="str">
        <f>IF(A68="","",SUMIF(Receipts!$B$5:$B$510,A68,Receipts!$D$5:$D$510))</f>
        <v/>
      </c>
      <c r="L68" s="11" t="str">
        <f t="shared" si="1"/>
        <v/>
      </c>
      <c r="M68" s="12" t="str">
        <f>IF(COUNTIF(Receipts!$B$5:$B$510,A68)=0,"",IFERROR(LOOKUP(2,1/(Receipts!$B$5:$B$510=A68),Receipts!$C$5:$C$510),""))</f>
        <v/>
      </c>
      <c r="N68" s="6" t="str">
        <f t="shared" ca="1" si="2"/>
        <v/>
      </c>
      <c r="O68" s="11" t="str">
        <f t="shared" ca="1" si="3"/>
        <v/>
      </c>
      <c r="P68" s="5"/>
    </row>
    <row r="69" spans="1:16" x14ac:dyDescent="0.25">
      <c r="A69" s="5"/>
      <c r="B69" s="5"/>
      <c r="C69" s="6" t="str">
        <f>IFERROR(INDEX(Suppliers!$B$5:$B$104,MATCH(B69,Suppliers!$A$5:$A$104,0)),"")</f>
        <v/>
      </c>
      <c r="D69" s="5"/>
      <c r="E69" s="5"/>
      <c r="F69" s="7"/>
      <c r="G69" s="7"/>
      <c r="H69" s="8"/>
      <c r="I69" s="9"/>
      <c r="J69" s="10" t="str">
        <f t="shared" ref="J69:J132" si="4">IF(OR(H69="",I69=""),"",H69*I69)</f>
        <v/>
      </c>
      <c r="K69" s="11" t="str">
        <f>IF(A69="","",SUMIF(Receipts!$B$5:$B$510,A69,Receipts!$D$5:$D$510))</f>
        <v/>
      </c>
      <c r="L69" s="11" t="str">
        <f t="shared" ref="L69:L132" si="5">IF(A69="","",MAX(0,H69-K69))</f>
        <v/>
      </c>
      <c r="M69" s="12" t="str">
        <f>IF(COUNTIF(Receipts!$B$5:$B$510,A69)=0,"",IFERROR(LOOKUP(2,1/(Receipts!$B$5:$B$510=A69),Receipts!$C$5:$C$510),""))</f>
        <v/>
      </c>
      <c r="N69" s="6" t="str">
        <f t="shared" ref="N69:N132" ca="1" si="6">IF(A69="","",IF(OR(H69="",G69=""),"Incomplete",IF(K69&gt;H69,"Over-received",IF(L69=0,"Complete",IF(K69&gt;0,IF(G69&lt;TODAY(),"Overdue - Partial","Partially Received"),IF(G69&lt;TODAY(),"Overdue","Scheduled"))))))</f>
        <v/>
      </c>
      <c r="O69" s="11" t="str">
        <f t="shared" ref="O69:O132" ca="1" si="7">IF(OR(A69="",L69=0,G69=""),"",MAX(0,TODAY()-G69))</f>
        <v/>
      </c>
      <c r="P69" s="5"/>
    </row>
    <row r="70" spans="1:16" x14ac:dyDescent="0.25">
      <c r="A70" s="5"/>
      <c r="B70" s="5"/>
      <c r="C70" s="6" t="str">
        <f>IFERROR(INDEX(Suppliers!$B$5:$B$104,MATCH(B70,Suppliers!$A$5:$A$104,0)),"")</f>
        <v/>
      </c>
      <c r="D70" s="5"/>
      <c r="E70" s="5"/>
      <c r="F70" s="7"/>
      <c r="G70" s="7"/>
      <c r="H70" s="8"/>
      <c r="I70" s="9"/>
      <c r="J70" s="10" t="str">
        <f t="shared" si="4"/>
        <v/>
      </c>
      <c r="K70" s="11" t="str">
        <f>IF(A70="","",SUMIF(Receipts!$B$5:$B$510,A70,Receipts!$D$5:$D$510))</f>
        <v/>
      </c>
      <c r="L70" s="11" t="str">
        <f t="shared" si="5"/>
        <v/>
      </c>
      <c r="M70" s="12" t="str">
        <f>IF(COUNTIF(Receipts!$B$5:$B$510,A70)=0,"",IFERROR(LOOKUP(2,1/(Receipts!$B$5:$B$510=A70),Receipts!$C$5:$C$510),""))</f>
        <v/>
      </c>
      <c r="N70" s="6" t="str">
        <f t="shared" ca="1" si="6"/>
        <v/>
      </c>
      <c r="O70" s="11" t="str">
        <f t="shared" ca="1" si="7"/>
        <v/>
      </c>
      <c r="P70" s="5"/>
    </row>
    <row r="71" spans="1:16" x14ac:dyDescent="0.25">
      <c r="A71" s="5"/>
      <c r="B71" s="5"/>
      <c r="C71" s="6" t="str">
        <f>IFERROR(INDEX(Suppliers!$B$5:$B$104,MATCH(B71,Suppliers!$A$5:$A$104,0)),"")</f>
        <v/>
      </c>
      <c r="D71" s="5"/>
      <c r="E71" s="5"/>
      <c r="F71" s="7"/>
      <c r="G71" s="7"/>
      <c r="H71" s="8"/>
      <c r="I71" s="9"/>
      <c r="J71" s="10" t="str">
        <f t="shared" si="4"/>
        <v/>
      </c>
      <c r="K71" s="11" t="str">
        <f>IF(A71="","",SUMIF(Receipts!$B$5:$B$510,A71,Receipts!$D$5:$D$510))</f>
        <v/>
      </c>
      <c r="L71" s="11" t="str">
        <f t="shared" si="5"/>
        <v/>
      </c>
      <c r="M71" s="12" t="str">
        <f>IF(COUNTIF(Receipts!$B$5:$B$510,A71)=0,"",IFERROR(LOOKUP(2,1/(Receipts!$B$5:$B$510=A71),Receipts!$C$5:$C$510),""))</f>
        <v/>
      </c>
      <c r="N71" s="6" t="str">
        <f t="shared" ca="1" si="6"/>
        <v/>
      </c>
      <c r="O71" s="11" t="str">
        <f t="shared" ca="1" si="7"/>
        <v/>
      </c>
      <c r="P71" s="5"/>
    </row>
    <row r="72" spans="1:16" x14ac:dyDescent="0.25">
      <c r="A72" s="5"/>
      <c r="B72" s="5"/>
      <c r="C72" s="6" t="str">
        <f>IFERROR(INDEX(Suppliers!$B$5:$B$104,MATCH(B72,Suppliers!$A$5:$A$104,0)),"")</f>
        <v/>
      </c>
      <c r="D72" s="5"/>
      <c r="E72" s="5"/>
      <c r="F72" s="7"/>
      <c r="G72" s="7"/>
      <c r="H72" s="8"/>
      <c r="I72" s="9"/>
      <c r="J72" s="10" t="str">
        <f t="shared" si="4"/>
        <v/>
      </c>
      <c r="K72" s="11" t="str">
        <f>IF(A72="","",SUMIF(Receipts!$B$5:$B$510,A72,Receipts!$D$5:$D$510))</f>
        <v/>
      </c>
      <c r="L72" s="11" t="str">
        <f t="shared" si="5"/>
        <v/>
      </c>
      <c r="M72" s="12" t="str">
        <f>IF(COUNTIF(Receipts!$B$5:$B$510,A72)=0,"",IFERROR(LOOKUP(2,1/(Receipts!$B$5:$B$510=A72),Receipts!$C$5:$C$510),""))</f>
        <v/>
      </c>
      <c r="N72" s="6" t="str">
        <f t="shared" ca="1" si="6"/>
        <v/>
      </c>
      <c r="O72" s="11" t="str">
        <f t="shared" ca="1" si="7"/>
        <v/>
      </c>
      <c r="P72" s="5"/>
    </row>
    <row r="73" spans="1:16" x14ac:dyDescent="0.25">
      <c r="A73" s="5"/>
      <c r="B73" s="5"/>
      <c r="C73" s="6" t="str">
        <f>IFERROR(INDEX(Suppliers!$B$5:$B$104,MATCH(B73,Suppliers!$A$5:$A$104,0)),"")</f>
        <v/>
      </c>
      <c r="D73" s="5"/>
      <c r="E73" s="5"/>
      <c r="F73" s="7"/>
      <c r="G73" s="7"/>
      <c r="H73" s="8"/>
      <c r="I73" s="9"/>
      <c r="J73" s="10" t="str">
        <f t="shared" si="4"/>
        <v/>
      </c>
      <c r="K73" s="11" t="str">
        <f>IF(A73="","",SUMIF(Receipts!$B$5:$B$510,A73,Receipts!$D$5:$D$510))</f>
        <v/>
      </c>
      <c r="L73" s="11" t="str">
        <f t="shared" si="5"/>
        <v/>
      </c>
      <c r="M73" s="12" t="str">
        <f>IF(COUNTIF(Receipts!$B$5:$B$510,A73)=0,"",IFERROR(LOOKUP(2,1/(Receipts!$B$5:$B$510=A73),Receipts!$C$5:$C$510),""))</f>
        <v/>
      </c>
      <c r="N73" s="6" t="str">
        <f t="shared" ca="1" si="6"/>
        <v/>
      </c>
      <c r="O73" s="11" t="str">
        <f t="shared" ca="1" si="7"/>
        <v/>
      </c>
      <c r="P73" s="5"/>
    </row>
    <row r="74" spans="1:16" x14ac:dyDescent="0.25">
      <c r="A74" s="5"/>
      <c r="B74" s="5"/>
      <c r="C74" s="6" t="str">
        <f>IFERROR(INDEX(Suppliers!$B$5:$B$104,MATCH(B74,Suppliers!$A$5:$A$104,0)),"")</f>
        <v/>
      </c>
      <c r="D74" s="5"/>
      <c r="E74" s="5"/>
      <c r="F74" s="7"/>
      <c r="G74" s="7"/>
      <c r="H74" s="8"/>
      <c r="I74" s="9"/>
      <c r="J74" s="10" t="str">
        <f t="shared" si="4"/>
        <v/>
      </c>
      <c r="K74" s="11" t="str">
        <f>IF(A74="","",SUMIF(Receipts!$B$5:$B$510,A74,Receipts!$D$5:$D$510))</f>
        <v/>
      </c>
      <c r="L74" s="11" t="str">
        <f t="shared" si="5"/>
        <v/>
      </c>
      <c r="M74" s="12" t="str">
        <f>IF(COUNTIF(Receipts!$B$5:$B$510,A74)=0,"",IFERROR(LOOKUP(2,1/(Receipts!$B$5:$B$510=A74),Receipts!$C$5:$C$510),""))</f>
        <v/>
      </c>
      <c r="N74" s="6" t="str">
        <f t="shared" ca="1" si="6"/>
        <v/>
      </c>
      <c r="O74" s="11" t="str">
        <f t="shared" ca="1" si="7"/>
        <v/>
      </c>
      <c r="P74" s="5"/>
    </row>
    <row r="75" spans="1:16" x14ac:dyDescent="0.25">
      <c r="A75" s="5"/>
      <c r="B75" s="5"/>
      <c r="C75" s="6" t="str">
        <f>IFERROR(INDEX(Suppliers!$B$5:$B$104,MATCH(B75,Suppliers!$A$5:$A$104,0)),"")</f>
        <v/>
      </c>
      <c r="D75" s="5"/>
      <c r="E75" s="5"/>
      <c r="F75" s="7"/>
      <c r="G75" s="7"/>
      <c r="H75" s="8"/>
      <c r="I75" s="9"/>
      <c r="J75" s="10" t="str">
        <f t="shared" si="4"/>
        <v/>
      </c>
      <c r="K75" s="11" t="str">
        <f>IF(A75="","",SUMIF(Receipts!$B$5:$B$510,A75,Receipts!$D$5:$D$510))</f>
        <v/>
      </c>
      <c r="L75" s="11" t="str">
        <f t="shared" si="5"/>
        <v/>
      </c>
      <c r="M75" s="12" t="str">
        <f>IF(COUNTIF(Receipts!$B$5:$B$510,A75)=0,"",IFERROR(LOOKUP(2,1/(Receipts!$B$5:$B$510=A75),Receipts!$C$5:$C$510),""))</f>
        <v/>
      </c>
      <c r="N75" s="6" t="str">
        <f t="shared" ca="1" si="6"/>
        <v/>
      </c>
      <c r="O75" s="11" t="str">
        <f t="shared" ca="1" si="7"/>
        <v/>
      </c>
      <c r="P75" s="5"/>
    </row>
    <row r="76" spans="1:16" x14ac:dyDescent="0.25">
      <c r="A76" s="5"/>
      <c r="B76" s="5"/>
      <c r="C76" s="6" t="str">
        <f>IFERROR(INDEX(Suppliers!$B$5:$B$104,MATCH(B76,Suppliers!$A$5:$A$104,0)),"")</f>
        <v/>
      </c>
      <c r="D76" s="5"/>
      <c r="E76" s="5"/>
      <c r="F76" s="7"/>
      <c r="G76" s="7"/>
      <c r="H76" s="8"/>
      <c r="I76" s="9"/>
      <c r="J76" s="10" t="str">
        <f t="shared" si="4"/>
        <v/>
      </c>
      <c r="K76" s="11" t="str">
        <f>IF(A76="","",SUMIF(Receipts!$B$5:$B$510,A76,Receipts!$D$5:$D$510))</f>
        <v/>
      </c>
      <c r="L76" s="11" t="str">
        <f t="shared" si="5"/>
        <v/>
      </c>
      <c r="M76" s="12" t="str">
        <f>IF(COUNTIF(Receipts!$B$5:$B$510,A76)=0,"",IFERROR(LOOKUP(2,1/(Receipts!$B$5:$B$510=A76),Receipts!$C$5:$C$510),""))</f>
        <v/>
      </c>
      <c r="N76" s="6" t="str">
        <f t="shared" ca="1" si="6"/>
        <v/>
      </c>
      <c r="O76" s="11" t="str">
        <f t="shared" ca="1" si="7"/>
        <v/>
      </c>
      <c r="P76" s="5"/>
    </row>
    <row r="77" spans="1:16" x14ac:dyDescent="0.25">
      <c r="A77" s="5"/>
      <c r="B77" s="5"/>
      <c r="C77" s="6" t="str">
        <f>IFERROR(INDEX(Suppliers!$B$5:$B$104,MATCH(B77,Suppliers!$A$5:$A$104,0)),"")</f>
        <v/>
      </c>
      <c r="D77" s="5"/>
      <c r="E77" s="5"/>
      <c r="F77" s="7"/>
      <c r="G77" s="7"/>
      <c r="H77" s="8"/>
      <c r="I77" s="9"/>
      <c r="J77" s="10" t="str">
        <f t="shared" si="4"/>
        <v/>
      </c>
      <c r="K77" s="11" t="str">
        <f>IF(A77="","",SUMIF(Receipts!$B$5:$B$510,A77,Receipts!$D$5:$D$510))</f>
        <v/>
      </c>
      <c r="L77" s="11" t="str">
        <f t="shared" si="5"/>
        <v/>
      </c>
      <c r="M77" s="12" t="str">
        <f>IF(COUNTIF(Receipts!$B$5:$B$510,A77)=0,"",IFERROR(LOOKUP(2,1/(Receipts!$B$5:$B$510=A77),Receipts!$C$5:$C$510),""))</f>
        <v/>
      </c>
      <c r="N77" s="6" t="str">
        <f t="shared" ca="1" si="6"/>
        <v/>
      </c>
      <c r="O77" s="11" t="str">
        <f t="shared" ca="1" si="7"/>
        <v/>
      </c>
      <c r="P77" s="5"/>
    </row>
    <row r="78" spans="1:16" x14ac:dyDescent="0.25">
      <c r="A78" s="5"/>
      <c r="B78" s="5"/>
      <c r="C78" s="6" t="str">
        <f>IFERROR(INDEX(Suppliers!$B$5:$B$104,MATCH(B78,Suppliers!$A$5:$A$104,0)),"")</f>
        <v/>
      </c>
      <c r="D78" s="5"/>
      <c r="E78" s="5"/>
      <c r="F78" s="7"/>
      <c r="G78" s="7"/>
      <c r="H78" s="8"/>
      <c r="I78" s="9"/>
      <c r="J78" s="10" t="str">
        <f t="shared" si="4"/>
        <v/>
      </c>
      <c r="K78" s="11" t="str">
        <f>IF(A78="","",SUMIF(Receipts!$B$5:$B$510,A78,Receipts!$D$5:$D$510))</f>
        <v/>
      </c>
      <c r="L78" s="11" t="str">
        <f t="shared" si="5"/>
        <v/>
      </c>
      <c r="M78" s="12" t="str">
        <f>IF(COUNTIF(Receipts!$B$5:$B$510,A78)=0,"",IFERROR(LOOKUP(2,1/(Receipts!$B$5:$B$510=A78),Receipts!$C$5:$C$510),""))</f>
        <v/>
      </c>
      <c r="N78" s="6" t="str">
        <f t="shared" ca="1" si="6"/>
        <v/>
      </c>
      <c r="O78" s="11" t="str">
        <f t="shared" ca="1" si="7"/>
        <v/>
      </c>
      <c r="P78" s="5"/>
    </row>
    <row r="79" spans="1:16" x14ac:dyDescent="0.25">
      <c r="A79" s="5"/>
      <c r="B79" s="5"/>
      <c r="C79" s="6" t="str">
        <f>IFERROR(INDEX(Suppliers!$B$5:$B$104,MATCH(B79,Suppliers!$A$5:$A$104,0)),"")</f>
        <v/>
      </c>
      <c r="D79" s="5"/>
      <c r="E79" s="5"/>
      <c r="F79" s="7"/>
      <c r="G79" s="7"/>
      <c r="H79" s="8"/>
      <c r="I79" s="9"/>
      <c r="J79" s="10" t="str">
        <f t="shared" si="4"/>
        <v/>
      </c>
      <c r="K79" s="11" t="str">
        <f>IF(A79="","",SUMIF(Receipts!$B$5:$B$510,A79,Receipts!$D$5:$D$510))</f>
        <v/>
      </c>
      <c r="L79" s="11" t="str">
        <f t="shared" si="5"/>
        <v/>
      </c>
      <c r="M79" s="12" t="str">
        <f>IF(COUNTIF(Receipts!$B$5:$B$510,A79)=0,"",IFERROR(LOOKUP(2,1/(Receipts!$B$5:$B$510=A79),Receipts!$C$5:$C$510),""))</f>
        <v/>
      </c>
      <c r="N79" s="6" t="str">
        <f t="shared" ca="1" si="6"/>
        <v/>
      </c>
      <c r="O79" s="11" t="str">
        <f t="shared" ca="1" si="7"/>
        <v/>
      </c>
      <c r="P79" s="5"/>
    </row>
    <row r="80" spans="1:16" x14ac:dyDescent="0.25">
      <c r="A80" s="5"/>
      <c r="B80" s="5"/>
      <c r="C80" s="6" t="str">
        <f>IFERROR(INDEX(Suppliers!$B$5:$B$104,MATCH(B80,Suppliers!$A$5:$A$104,0)),"")</f>
        <v/>
      </c>
      <c r="D80" s="5"/>
      <c r="E80" s="5"/>
      <c r="F80" s="7"/>
      <c r="G80" s="7"/>
      <c r="H80" s="8"/>
      <c r="I80" s="9"/>
      <c r="J80" s="10" t="str">
        <f t="shared" si="4"/>
        <v/>
      </c>
      <c r="K80" s="11" t="str">
        <f>IF(A80="","",SUMIF(Receipts!$B$5:$B$510,A80,Receipts!$D$5:$D$510))</f>
        <v/>
      </c>
      <c r="L80" s="11" t="str">
        <f t="shared" si="5"/>
        <v/>
      </c>
      <c r="M80" s="12" t="str">
        <f>IF(COUNTIF(Receipts!$B$5:$B$510,A80)=0,"",IFERROR(LOOKUP(2,1/(Receipts!$B$5:$B$510=A80),Receipts!$C$5:$C$510),""))</f>
        <v/>
      </c>
      <c r="N80" s="6" t="str">
        <f t="shared" ca="1" si="6"/>
        <v/>
      </c>
      <c r="O80" s="11" t="str">
        <f t="shared" ca="1" si="7"/>
        <v/>
      </c>
      <c r="P80" s="5"/>
    </row>
    <row r="81" spans="1:16" x14ac:dyDescent="0.25">
      <c r="A81" s="5"/>
      <c r="B81" s="5"/>
      <c r="C81" s="6" t="str">
        <f>IFERROR(INDEX(Suppliers!$B$5:$B$104,MATCH(B81,Suppliers!$A$5:$A$104,0)),"")</f>
        <v/>
      </c>
      <c r="D81" s="5"/>
      <c r="E81" s="5"/>
      <c r="F81" s="7"/>
      <c r="G81" s="7"/>
      <c r="H81" s="8"/>
      <c r="I81" s="9"/>
      <c r="J81" s="10" t="str">
        <f t="shared" si="4"/>
        <v/>
      </c>
      <c r="K81" s="11" t="str">
        <f>IF(A81="","",SUMIF(Receipts!$B$5:$B$510,A81,Receipts!$D$5:$D$510))</f>
        <v/>
      </c>
      <c r="L81" s="11" t="str">
        <f t="shared" si="5"/>
        <v/>
      </c>
      <c r="M81" s="12" t="str">
        <f>IF(COUNTIF(Receipts!$B$5:$B$510,A81)=0,"",IFERROR(LOOKUP(2,1/(Receipts!$B$5:$B$510=A81),Receipts!$C$5:$C$510),""))</f>
        <v/>
      </c>
      <c r="N81" s="6" t="str">
        <f t="shared" ca="1" si="6"/>
        <v/>
      </c>
      <c r="O81" s="11" t="str">
        <f t="shared" ca="1" si="7"/>
        <v/>
      </c>
      <c r="P81" s="5"/>
    </row>
    <row r="82" spans="1:16" x14ac:dyDescent="0.25">
      <c r="A82" s="5"/>
      <c r="B82" s="5"/>
      <c r="C82" s="6" t="str">
        <f>IFERROR(INDEX(Suppliers!$B$5:$B$104,MATCH(B82,Suppliers!$A$5:$A$104,0)),"")</f>
        <v/>
      </c>
      <c r="D82" s="5"/>
      <c r="E82" s="5"/>
      <c r="F82" s="7"/>
      <c r="G82" s="7"/>
      <c r="H82" s="8"/>
      <c r="I82" s="9"/>
      <c r="J82" s="10" t="str">
        <f t="shared" si="4"/>
        <v/>
      </c>
      <c r="K82" s="11" t="str">
        <f>IF(A82="","",SUMIF(Receipts!$B$5:$B$510,A82,Receipts!$D$5:$D$510))</f>
        <v/>
      </c>
      <c r="L82" s="11" t="str">
        <f t="shared" si="5"/>
        <v/>
      </c>
      <c r="M82" s="12" t="str">
        <f>IF(COUNTIF(Receipts!$B$5:$B$510,A82)=0,"",IFERROR(LOOKUP(2,1/(Receipts!$B$5:$B$510=A82),Receipts!$C$5:$C$510),""))</f>
        <v/>
      </c>
      <c r="N82" s="6" t="str">
        <f t="shared" ca="1" si="6"/>
        <v/>
      </c>
      <c r="O82" s="11" t="str">
        <f t="shared" ca="1" si="7"/>
        <v/>
      </c>
      <c r="P82" s="5"/>
    </row>
    <row r="83" spans="1:16" x14ac:dyDescent="0.25">
      <c r="A83" s="5"/>
      <c r="B83" s="5"/>
      <c r="C83" s="6" t="str">
        <f>IFERROR(INDEX(Suppliers!$B$5:$B$104,MATCH(B83,Suppliers!$A$5:$A$104,0)),"")</f>
        <v/>
      </c>
      <c r="D83" s="5"/>
      <c r="E83" s="5"/>
      <c r="F83" s="7"/>
      <c r="G83" s="7"/>
      <c r="H83" s="8"/>
      <c r="I83" s="9"/>
      <c r="J83" s="10" t="str">
        <f t="shared" si="4"/>
        <v/>
      </c>
      <c r="K83" s="11" t="str">
        <f>IF(A83="","",SUMIF(Receipts!$B$5:$B$510,A83,Receipts!$D$5:$D$510))</f>
        <v/>
      </c>
      <c r="L83" s="11" t="str">
        <f t="shared" si="5"/>
        <v/>
      </c>
      <c r="M83" s="12" t="str">
        <f>IF(COUNTIF(Receipts!$B$5:$B$510,A83)=0,"",IFERROR(LOOKUP(2,1/(Receipts!$B$5:$B$510=A83),Receipts!$C$5:$C$510),""))</f>
        <v/>
      </c>
      <c r="N83" s="6" t="str">
        <f t="shared" ca="1" si="6"/>
        <v/>
      </c>
      <c r="O83" s="11" t="str">
        <f t="shared" ca="1" si="7"/>
        <v/>
      </c>
      <c r="P83" s="5"/>
    </row>
    <row r="84" spans="1:16" x14ac:dyDescent="0.25">
      <c r="A84" s="5"/>
      <c r="B84" s="5"/>
      <c r="C84" s="6" t="str">
        <f>IFERROR(INDEX(Suppliers!$B$5:$B$104,MATCH(B84,Suppliers!$A$5:$A$104,0)),"")</f>
        <v/>
      </c>
      <c r="D84" s="5"/>
      <c r="E84" s="5"/>
      <c r="F84" s="7"/>
      <c r="G84" s="7"/>
      <c r="H84" s="8"/>
      <c r="I84" s="9"/>
      <c r="J84" s="10" t="str">
        <f t="shared" si="4"/>
        <v/>
      </c>
      <c r="K84" s="11" t="str">
        <f>IF(A84="","",SUMIF(Receipts!$B$5:$B$510,A84,Receipts!$D$5:$D$510))</f>
        <v/>
      </c>
      <c r="L84" s="11" t="str">
        <f t="shared" si="5"/>
        <v/>
      </c>
      <c r="M84" s="12" t="str">
        <f>IF(COUNTIF(Receipts!$B$5:$B$510,A84)=0,"",IFERROR(LOOKUP(2,1/(Receipts!$B$5:$B$510=A84),Receipts!$C$5:$C$510),""))</f>
        <v/>
      </c>
      <c r="N84" s="6" t="str">
        <f t="shared" ca="1" si="6"/>
        <v/>
      </c>
      <c r="O84" s="11" t="str">
        <f t="shared" ca="1" si="7"/>
        <v/>
      </c>
      <c r="P84" s="5"/>
    </row>
    <row r="85" spans="1:16" x14ac:dyDescent="0.25">
      <c r="A85" s="5"/>
      <c r="B85" s="5"/>
      <c r="C85" s="6" t="str">
        <f>IFERROR(INDEX(Suppliers!$B$5:$B$104,MATCH(B85,Suppliers!$A$5:$A$104,0)),"")</f>
        <v/>
      </c>
      <c r="D85" s="5"/>
      <c r="E85" s="5"/>
      <c r="F85" s="7"/>
      <c r="G85" s="7"/>
      <c r="H85" s="8"/>
      <c r="I85" s="9"/>
      <c r="J85" s="10" t="str">
        <f t="shared" si="4"/>
        <v/>
      </c>
      <c r="K85" s="11" t="str">
        <f>IF(A85="","",SUMIF(Receipts!$B$5:$B$510,A85,Receipts!$D$5:$D$510))</f>
        <v/>
      </c>
      <c r="L85" s="11" t="str">
        <f t="shared" si="5"/>
        <v/>
      </c>
      <c r="M85" s="12" t="str">
        <f>IF(COUNTIF(Receipts!$B$5:$B$510,A85)=0,"",IFERROR(LOOKUP(2,1/(Receipts!$B$5:$B$510=A85),Receipts!$C$5:$C$510),""))</f>
        <v/>
      </c>
      <c r="N85" s="6" t="str">
        <f t="shared" ca="1" si="6"/>
        <v/>
      </c>
      <c r="O85" s="11" t="str">
        <f t="shared" ca="1" si="7"/>
        <v/>
      </c>
      <c r="P85" s="5"/>
    </row>
    <row r="86" spans="1:16" x14ac:dyDescent="0.25">
      <c r="A86" s="5"/>
      <c r="B86" s="5"/>
      <c r="C86" s="6" t="str">
        <f>IFERROR(INDEX(Suppliers!$B$5:$B$104,MATCH(B86,Suppliers!$A$5:$A$104,0)),"")</f>
        <v/>
      </c>
      <c r="D86" s="5"/>
      <c r="E86" s="5"/>
      <c r="F86" s="7"/>
      <c r="G86" s="7"/>
      <c r="H86" s="8"/>
      <c r="I86" s="9"/>
      <c r="J86" s="10" t="str">
        <f t="shared" si="4"/>
        <v/>
      </c>
      <c r="K86" s="11" t="str">
        <f>IF(A86="","",SUMIF(Receipts!$B$5:$B$510,A86,Receipts!$D$5:$D$510))</f>
        <v/>
      </c>
      <c r="L86" s="11" t="str">
        <f t="shared" si="5"/>
        <v/>
      </c>
      <c r="M86" s="12" t="str">
        <f>IF(COUNTIF(Receipts!$B$5:$B$510,A86)=0,"",IFERROR(LOOKUP(2,1/(Receipts!$B$5:$B$510=A86),Receipts!$C$5:$C$510),""))</f>
        <v/>
      </c>
      <c r="N86" s="6" t="str">
        <f t="shared" ca="1" si="6"/>
        <v/>
      </c>
      <c r="O86" s="11" t="str">
        <f t="shared" ca="1" si="7"/>
        <v/>
      </c>
      <c r="P86" s="5"/>
    </row>
    <row r="87" spans="1:16" x14ac:dyDescent="0.25">
      <c r="A87" s="5"/>
      <c r="B87" s="5"/>
      <c r="C87" s="6" t="str">
        <f>IFERROR(INDEX(Suppliers!$B$5:$B$104,MATCH(B87,Suppliers!$A$5:$A$104,0)),"")</f>
        <v/>
      </c>
      <c r="D87" s="5"/>
      <c r="E87" s="5"/>
      <c r="F87" s="7"/>
      <c r="G87" s="7"/>
      <c r="H87" s="8"/>
      <c r="I87" s="9"/>
      <c r="J87" s="10" t="str">
        <f t="shared" si="4"/>
        <v/>
      </c>
      <c r="K87" s="11" t="str">
        <f>IF(A87="","",SUMIF(Receipts!$B$5:$B$510,A87,Receipts!$D$5:$D$510))</f>
        <v/>
      </c>
      <c r="L87" s="11" t="str">
        <f t="shared" si="5"/>
        <v/>
      </c>
      <c r="M87" s="12" t="str">
        <f>IF(COUNTIF(Receipts!$B$5:$B$510,A87)=0,"",IFERROR(LOOKUP(2,1/(Receipts!$B$5:$B$510=A87),Receipts!$C$5:$C$510),""))</f>
        <v/>
      </c>
      <c r="N87" s="6" t="str">
        <f t="shared" ca="1" si="6"/>
        <v/>
      </c>
      <c r="O87" s="11" t="str">
        <f t="shared" ca="1" si="7"/>
        <v/>
      </c>
      <c r="P87" s="5"/>
    </row>
    <row r="88" spans="1:16" x14ac:dyDescent="0.25">
      <c r="A88" s="5"/>
      <c r="B88" s="5"/>
      <c r="C88" s="6" t="str">
        <f>IFERROR(INDEX(Suppliers!$B$5:$B$104,MATCH(B88,Suppliers!$A$5:$A$104,0)),"")</f>
        <v/>
      </c>
      <c r="D88" s="5"/>
      <c r="E88" s="5"/>
      <c r="F88" s="7"/>
      <c r="G88" s="7"/>
      <c r="H88" s="8"/>
      <c r="I88" s="9"/>
      <c r="J88" s="10" t="str">
        <f t="shared" si="4"/>
        <v/>
      </c>
      <c r="K88" s="11" t="str">
        <f>IF(A88="","",SUMIF(Receipts!$B$5:$B$510,A88,Receipts!$D$5:$D$510))</f>
        <v/>
      </c>
      <c r="L88" s="11" t="str">
        <f t="shared" si="5"/>
        <v/>
      </c>
      <c r="M88" s="12" t="str">
        <f>IF(COUNTIF(Receipts!$B$5:$B$510,A88)=0,"",IFERROR(LOOKUP(2,1/(Receipts!$B$5:$B$510=A88),Receipts!$C$5:$C$510),""))</f>
        <v/>
      </c>
      <c r="N88" s="6" t="str">
        <f t="shared" ca="1" si="6"/>
        <v/>
      </c>
      <c r="O88" s="11" t="str">
        <f t="shared" ca="1" si="7"/>
        <v/>
      </c>
      <c r="P88" s="5"/>
    </row>
    <row r="89" spans="1:16" x14ac:dyDescent="0.25">
      <c r="A89" s="5"/>
      <c r="B89" s="5"/>
      <c r="C89" s="6" t="str">
        <f>IFERROR(INDEX(Suppliers!$B$5:$B$104,MATCH(B89,Suppliers!$A$5:$A$104,0)),"")</f>
        <v/>
      </c>
      <c r="D89" s="5"/>
      <c r="E89" s="5"/>
      <c r="F89" s="7"/>
      <c r="G89" s="7"/>
      <c r="H89" s="8"/>
      <c r="I89" s="9"/>
      <c r="J89" s="10" t="str">
        <f t="shared" si="4"/>
        <v/>
      </c>
      <c r="K89" s="11" t="str">
        <f>IF(A89="","",SUMIF(Receipts!$B$5:$B$510,A89,Receipts!$D$5:$D$510))</f>
        <v/>
      </c>
      <c r="L89" s="11" t="str">
        <f t="shared" si="5"/>
        <v/>
      </c>
      <c r="M89" s="12" t="str">
        <f>IF(COUNTIF(Receipts!$B$5:$B$510,A89)=0,"",IFERROR(LOOKUP(2,1/(Receipts!$B$5:$B$510=A89),Receipts!$C$5:$C$510),""))</f>
        <v/>
      </c>
      <c r="N89" s="6" t="str">
        <f t="shared" ca="1" si="6"/>
        <v/>
      </c>
      <c r="O89" s="11" t="str">
        <f t="shared" ca="1" si="7"/>
        <v/>
      </c>
      <c r="P89" s="5"/>
    </row>
    <row r="90" spans="1:16" x14ac:dyDescent="0.25">
      <c r="A90" s="5"/>
      <c r="B90" s="5"/>
      <c r="C90" s="6" t="str">
        <f>IFERROR(INDEX(Suppliers!$B$5:$B$104,MATCH(B90,Suppliers!$A$5:$A$104,0)),"")</f>
        <v/>
      </c>
      <c r="D90" s="5"/>
      <c r="E90" s="5"/>
      <c r="F90" s="7"/>
      <c r="G90" s="7"/>
      <c r="H90" s="8"/>
      <c r="I90" s="9"/>
      <c r="J90" s="10" t="str">
        <f t="shared" si="4"/>
        <v/>
      </c>
      <c r="K90" s="11" t="str">
        <f>IF(A90="","",SUMIF(Receipts!$B$5:$B$510,A90,Receipts!$D$5:$D$510))</f>
        <v/>
      </c>
      <c r="L90" s="11" t="str">
        <f t="shared" si="5"/>
        <v/>
      </c>
      <c r="M90" s="12" t="str">
        <f>IF(COUNTIF(Receipts!$B$5:$B$510,A90)=0,"",IFERROR(LOOKUP(2,1/(Receipts!$B$5:$B$510=A90),Receipts!$C$5:$C$510),""))</f>
        <v/>
      </c>
      <c r="N90" s="6" t="str">
        <f t="shared" ca="1" si="6"/>
        <v/>
      </c>
      <c r="O90" s="11" t="str">
        <f t="shared" ca="1" si="7"/>
        <v/>
      </c>
      <c r="P90" s="5"/>
    </row>
    <row r="91" spans="1:16" x14ac:dyDescent="0.25">
      <c r="A91" s="5"/>
      <c r="B91" s="5"/>
      <c r="C91" s="6" t="str">
        <f>IFERROR(INDEX(Suppliers!$B$5:$B$104,MATCH(B91,Suppliers!$A$5:$A$104,0)),"")</f>
        <v/>
      </c>
      <c r="D91" s="5"/>
      <c r="E91" s="5"/>
      <c r="F91" s="7"/>
      <c r="G91" s="7"/>
      <c r="H91" s="8"/>
      <c r="I91" s="9"/>
      <c r="J91" s="10" t="str">
        <f t="shared" si="4"/>
        <v/>
      </c>
      <c r="K91" s="11" t="str">
        <f>IF(A91="","",SUMIF(Receipts!$B$5:$B$510,A91,Receipts!$D$5:$D$510))</f>
        <v/>
      </c>
      <c r="L91" s="11" t="str">
        <f t="shared" si="5"/>
        <v/>
      </c>
      <c r="M91" s="12" t="str">
        <f>IF(COUNTIF(Receipts!$B$5:$B$510,A91)=0,"",IFERROR(LOOKUP(2,1/(Receipts!$B$5:$B$510=A91),Receipts!$C$5:$C$510),""))</f>
        <v/>
      </c>
      <c r="N91" s="6" t="str">
        <f t="shared" ca="1" si="6"/>
        <v/>
      </c>
      <c r="O91" s="11" t="str">
        <f t="shared" ca="1" si="7"/>
        <v/>
      </c>
      <c r="P91" s="5"/>
    </row>
    <row r="92" spans="1:16" x14ac:dyDescent="0.25">
      <c r="A92" s="5"/>
      <c r="B92" s="5"/>
      <c r="C92" s="6" t="str">
        <f>IFERROR(INDEX(Suppliers!$B$5:$B$104,MATCH(B92,Suppliers!$A$5:$A$104,0)),"")</f>
        <v/>
      </c>
      <c r="D92" s="5"/>
      <c r="E92" s="5"/>
      <c r="F92" s="7"/>
      <c r="G92" s="7"/>
      <c r="H92" s="8"/>
      <c r="I92" s="9"/>
      <c r="J92" s="10" t="str">
        <f t="shared" si="4"/>
        <v/>
      </c>
      <c r="K92" s="11" t="str">
        <f>IF(A92="","",SUMIF(Receipts!$B$5:$B$510,A92,Receipts!$D$5:$D$510))</f>
        <v/>
      </c>
      <c r="L92" s="11" t="str">
        <f t="shared" si="5"/>
        <v/>
      </c>
      <c r="M92" s="12" t="str">
        <f>IF(COUNTIF(Receipts!$B$5:$B$510,A92)=0,"",IFERROR(LOOKUP(2,1/(Receipts!$B$5:$B$510=A92),Receipts!$C$5:$C$510),""))</f>
        <v/>
      </c>
      <c r="N92" s="6" t="str">
        <f t="shared" ca="1" si="6"/>
        <v/>
      </c>
      <c r="O92" s="11" t="str">
        <f t="shared" ca="1" si="7"/>
        <v/>
      </c>
      <c r="P92" s="5"/>
    </row>
    <row r="93" spans="1:16" x14ac:dyDescent="0.25">
      <c r="A93" s="5"/>
      <c r="B93" s="5"/>
      <c r="C93" s="6" t="str">
        <f>IFERROR(INDEX(Suppliers!$B$5:$B$104,MATCH(B93,Suppliers!$A$5:$A$104,0)),"")</f>
        <v/>
      </c>
      <c r="D93" s="5"/>
      <c r="E93" s="5"/>
      <c r="F93" s="7"/>
      <c r="G93" s="7"/>
      <c r="H93" s="8"/>
      <c r="I93" s="9"/>
      <c r="J93" s="10" t="str">
        <f t="shared" si="4"/>
        <v/>
      </c>
      <c r="K93" s="11" t="str">
        <f>IF(A93="","",SUMIF(Receipts!$B$5:$B$510,A93,Receipts!$D$5:$D$510))</f>
        <v/>
      </c>
      <c r="L93" s="11" t="str">
        <f t="shared" si="5"/>
        <v/>
      </c>
      <c r="M93" s="12" t="str">
        <f>IF(COUNTIF(Receipts!$B$5:$B$510,A93)=0,"",IFERROR(LOOKUP(2,1/(Receipts!$B$5:$B$510=A93),Receipts!$C$5:$C$510),""))</f>
        <v/>
      </c>
      <c r="N93" s="6" t="str">
        <f t="shared" ca="1" si="6"/>
        <v/>
      </c>
      <c r="O93" s="11" t="str">
        <f t="shared" ca="1" si="7"/>
        <v/>
      </c>
      <c r="P93" s="5"/>
    </row>
    <row r="94" spans="1:16" x14ac:dyDescent="0.25">
      <c r="A94" s="5"/>
      <c r="B94" s="5"/>
      <c r="C94" s="6" t="str">
        <f>IFERROR(INDEX(Suppliers!$B$5:$B$104,MATCH(B94,Suppliers!$A$5:$A$104,0)),"")</f>
        <v/>
      </c>
      <c r="D94" s="5"/>
      <c r="E94" s="5"/>
      <c r="F94" s="7"/>
      <c r="G94" s="7"/>
      <c r="H94" s="8"/>
      <c r="I94" s="9"/>
      <c r="J94" s="10" t="str">
        <f t="shared" si="4"/>
        <v/>
      </c>
      <c r="K94" s="11" t="str">
        <f>IF(A94="","",SUMIF(Receipts!$B$5:$B$510,A94,Receipts!$D$5:$D$510))</f>
        <v/>
      </c>
      <c r="L94" s="11" t="str">
        <f t="shared" si="5"/>
        <v/>
      </c>
      <c r="M94" s="12" t="str">
        <f>IF(COUNTIF(Receipts!$B$5:$B$510,A94)=0,"",IFERROR(LOOKUP(2,1/(Receipts!$B$5:$B$510=A94),Receipts!$C$5:$C$510),""))</f>
        <v/>
      </c>
      <c r="N94" s="6" t="str">
        <f t="shared" ca="1" si="6"/>
        <v/>
      </c>
      <c r="O94" s="11" t="str">
        <f t="shared" ca="1" si="7"/>
        <v/>
      </c>
      <c r="P94" s="5"/>
    </row>
    <row r="95" spans="1:16" x14ac:dyDescent="0.25">
      <c r="A95" s="5"/>
      <c r="B95" s="5"/>
      <c r="C95" s="6" t="str">
        <f>IFERROR(INDEX(Suppliers!$B$5:$B$104,MATCH(B95,Suppliers!$A$5:$A$104,0)),"")</f>
        <v/>
      </c>
      <c r="D95" s="5"/>
      <c r="E95" s="5"/>
      <c r="F95" s="7"/>
      <c r="G95" s="7"/>
      <c r="H95" s="8"/>
      <c r="I95" s="9"/>
      <c r="J95" s="10" t="str">
        <f t="shared" si="4"/>
        <v/>
      </c>
      <c r="K95" s="11" t="str">
        <f>IF(A95="","",SUMIF(Receipts!$B$5:$B$510,A95,Receipts!$D$5:$D$510))</f>
        <v/>
      </c>
      <c r="L95" s="11" t="str">
        <f t="shared" si="5"/>
        <v/>
      </c>
      <c r="M95" s="12" t="str">
        <f>IF(COUNTIF(Receipts!$B$5:$B$510,A95)=0,"",IFERROR(LOOKUP(2,1/(Receipts!$B$5:$B$510=A95),Receipts!$C$5:$C$510),""))</f>
        <v/>
      </c>
      <c r="N95" s="6" t="str">
        <f t="shared" ca="1" si="6"/>
        <v/>
      </c>
      <c r="O95" s="11" t="str">
        <f t="shared" ca="1" si="7"/>
        <v/>
      </c>
      <c r="P95" s="5"/>
    </row>
    <row r="96" spans="1:16" x14ac:dyDescent="0.25">
      <c r="A96" s="5"/>
      <c r="B96" s="5"/>
      <c r="C96" s="6" t="str">
        <f>IFERROR(INDEX(Suppliers!$B$5:$B$104,MATCH(B96,Suppliers!$A$5:$A$104,0)),"")</f>
        <v/>
      </c>
      <c r="D96" s="5"/>
      <c r="E96" s="5"/>
      <c r="F96" s="7"/>
      <c r="G96" s="7"/>
      <c r="H96" s="8"/>
      <c r="I96" s="9"/>
      <c r="J96" s="10" t="str">
        <f t="shared" si="4"/>
        <v/>
      </c>
      <c r="K96" s="11" t="str">
        <f>IF(A96="","",SUMIF(Receipts!$B$5:$B$510,A96,Receipts!$D$5:$D$510))</f>
        <v/>
      </c>
      <c r="L96" s="11" t="str">
        <f t="shared" si="5"/>
        <v/>
      </c>
      <c r="M96" s="12" t="str">
        <f>IF(COUNTIF(Receipts!$B$5:$B$510,A96)=0,"",IFERROR(LOOKUP(2,1/(Receipts!$B$5:$B$510=A96),Receipts!$C$5:$C$510),""))</f>
        <v/>
      </c>
      <c r="N96" s="6" t="str">
        <f t="shared" ca="1" si="6"/>
        <v/>
      </c>
      <c r="O96" s="11" t="str">
        <f t="shared" ca="1" si="7"/>
        <v/>
      </c>
      <c r="P96" s="5"/>
    </row>
    <row r="97" spans="1:16" x14ac:dyDescent="0.25">
      <c r="A97" s="5"/>
      <c r="B97" s="5"/>
      <c r="C97" s="6" t="str">
        <f>IFERROR(INDEX(Suppliers!$B$5:$B$104,MATCH(B97,Suppliers!$A$5:$A$104,0)),"")</f>
        <v/>
      </c>
      <c r="D97" s="5"/>
      <c r="E97" s="5"/>
      <c r="F97" s="7"/>
      <c r="G97" s="7"/>
      <c r="H97" s="8"/>
      <c r="I97" s="9"/>
      <c r="J97" s="10" t="str">
        <f t="shared" si="4"/>
        <v/>
      </c>
      <c r="K97" s="11" t="str">
        <f>IF(A97="","",SUMIF(Receipts!$B$5:$B$510,A97,Receipts!$D$5:$D$510))</f>
        <v/>
      </c>
      <c r="L97" s="11" t="str">
        <f t="shared" si="5"/>
        <v/>
      </c>
      <c r="M97" s="12" t="str">
        <f>IF(COUNTIF(Receipts!$B$5:$B$510,A97)=0,"",IFERROR(LOOKUP(2,1/(Receipts!$B$5:$B$510=A97),Receipts!$C$5:$C$510),""))</f>
        <v/>
      </c>
      <c r="N97" s="6" t="str">
        <f t="shared" ca="1" si="6"/>
        <v/>
      </c>
      <c r="O97" s="11" t="str">
        <f t="shared" ca="1" si="7"/>
        <v/>
      </c>
      <c r="P97" s="5"/>
    </row>
    <row r="98" spans="1:16" x14ac:dyDescent="0.25">
      <c r="A98" s="5"/>
      <c r="B98" s="5"/>
      <c r="C98" s="6" t="str">
        <f>IFERROR(INDEX(Suppliers!$B$5:$B$104,MATCH(B98,Suppliers!$A$5:$A$104,0)),"")</f>
        <v/>
      </c>
      <c r="D98" s="5"/>
      <c r="E98" s="5"/>
      <c r="F98" s="7"/>
      <c r="G98" s="7"/>
      <c r="H98" s="8"/>
      <c r="I98" s="9"/>
      <c r="J98" s="10" t="str">
        <f t="shared" si="4"/>
        <v/>
      </c>
      <c r="K98" s="11" t="str">
        <f>IF(A98="","",SUMIF(Receipts!$B$5:$B$510,A98,Receipts!$D$5:$D$510))</f>
        <v/>
      </c>
      <c r="L98" s="11" t="str">
        <f t="shared" si="5"/>
        <v/>
      </c>
      <c r="M98" s="12" t="str">
        <f>IF(COUNTIF(Receipts!$B$5:$B$510,A98)=0,"",IFERROR(LOOKUP(2,1/(Receipts!$B$5:$B$510=A98),Receipts!$C$5:$C$510),""))</f>
        <v/>
      </c>
      <c r="N98" s="6" t="str">
        <f t="shared" ca="1" si="6"/>
        <v/>
      </c>
      <c r="O98" s="11" t="str">
        <f t="shared" ca="1" si="7"/>
        <v/>
      </c>
      <c r="P98" s="5"/>
    </row>
    <row r="99" spans="1:16" x14ac:dyDescent="0.25">
      <c r="A99" s="5"/>
      <c r="B99" s="5"/>
      <c r="C99" s="6" t="str">
        <f>IFERROR(INDEX(Suppliers!$B$5:$B$104,MATCH(B99,Suppliers!$A$5:$A$104,0)),"")</f>
        <v/>
      </c>
      <c r="D99" s="5"/>
      <c r="E99" s="5"/>
      <c r="F99" s="7"/>
      <c r="G99" s="7"/>
      <c r="H99" s="8"/>
      <c r="I99" s="9"/>
      <c r="J99" s="10" t="str">
        <f t="shared" si="4"/>
        <v/>
      </c>
      <c r="K99" s="11" t="str">
        <f>IF(A99="","",SUMIF(Receipts!$B$5:$B$510,A99,Receipts!$D$5:$D$510))</f>
        <v/>
      </c>
      <c r="L99" s="11" t="str">
        <f t="shared" si="5"/>
        <v/>
      </c>
      <c r="M99" s="12" t="str">
        <f>IF(COUNTIF(Receipts!$B$5:$B$510,A99)=0,"",IFERROR(LOOKUP(2,1/(Receipts!$B$5:$B$510=A99),Receipts!$C$5:$C$510),""))</f>
        <v/>
      </c>
      <c r="N99" s="6" t="str">
        <f t="shared" ca="1" si="6"/>
        <v/>
      </c>
      <c r="O99" s="11" t="str">
        <f t="shared" ca="1" si="7"/>
        <v/>
      </c>
      <c r="P99" s="5"/>
    </row>
    <row r="100" spans="1:16" x14ac:dyDescent="0.25">
      <c r="A100" s="5"/>
      <c r="B100" s="5"/>
      <c r="C100" s="6" t="str">
        <f>IFERROR(INDEX(Suppliers!$B$5:$B$104,MATCH(B100,Suppliers!$A$5:$A$104,0)),"")</f>
        <v/>
      </c>
      <c r="D100" s="5"/>
      <c r="E100" s="5"/>
      <c r="F100" s="7"/>
      <c r="G100" s="7"/>
      <c r="H100" s="8"/>
      <c r="I100" s="9"/>
      <c r="J100" s="10" t="str">
        <f t="shared" si="4"/>
        <v/>
      </c>
      <c r="K100" s="11" t="str">
        <f>IF(A100="","",SUMIF(Receipts!$B$5:$B$510,A100,Receipts!$D$5:$D$510))</f>
        <v/>
      </c>
      <c r="L100" s="11" t="str">
        <f t="shared" si="5"/>
        <v/>
      </c>
      <c r="M100" s="12" t="str">
        <f>IF(COUNTIF(Receipts!$B$5:$B$510,A100)=0,"",IFERROR(LOOKUP(2,1/(Receipts!$B$5:$B$510=A100),Receipts!$C$5:$C$510),""))</f>
        <v/>
      </c>
      <c r="N100" s="6" t="str">
        <f t="shared" ca="1" si="6"/>
        <v/>
      </c>
      <c r="O100" s="11" t="str">
        <f t="shared" ca="1" si="7"/>
        <v/>
      </c>
      <c r="P100" s="5"/>
    </row>
    <row r="101" spans="1:16" x14ac:dyDescent="0.25">
      <c r="A101" s="5"/>
      <c r="B101" s="5"/>
      <c r="C101" s="6" t="str">
        <f>IFERROR(INDEX(Suppliers!$B$5:$B$104,MATCH(B101,Suppliers!$A$5:$A$104,0)),"")</f>
        <v/>
      </c>
      <c r="D101" s="5"/>
      <c r="E101" s="5"/>
      <c r="F101" s="7"/>
      <c r="G101" s="7"/>
      <c r="H101" s="8"/>
      <c r="I101" s="9"/>
      <c r="J101" s="10" t="str">
        <f t="shared" si="4"/>
        <v/>
      </c>
      <c r="K101" s="11" t="str">
        <f>IF(A101="","",SUMIF(Receipts!$B$5:$B$510,A101,Receipts!$D$5:$D$510))</f>
        <v/>
      </c>
      <c r="L101" s="11" t="str">
        <f t="shared" si="5"/>
        <v/>
      </c>
      <c r="M101" s="12" t="str">
        <f>IF(COUNTIF(Receipts!$B$5:$B$510,A101)=0,"",IFERROR(LOOKUP(2,1/(Receipts!$B$5:$B$510=A101),Receipts!$C$5:$C$510),""))</f>
        <v/>
      </c>
      <c r="N101" s="6" t="str">
        <f t="shared" ca="1" si="6"/>
        <v/>
      </c>
      <c r="O101" s="11" t="str">
        <f t="shared" ca="1" si="7"/>
        <v/>
      </c>
      <c r="P101" s="5"/>
    </row>
    <row r="102" spans="1:16" x14ac:dyDescent="0.25">
      <c r="A102" s="5"/>
      <c r="B102" s="5"/>
      <c r="C102" s="6" t="str">
        <f>IFERROR(INDEX(Suppliers!$B$5:$B$104,MATCH(B102,Suppliers!$A$5:$A$104,0)),"")</f>
        <v/>
      </c>
      <c r="D102" s="5"/>
      <c r="E102" s="5"/>
      <c r="F102" s="7"/>
      <c r="G102" s="7"/>
      <c r="H102" s="8"/>
      <c r="I102" s="9"/>
      <c r="J102" s="10" t="str">
        <f t="shared" si="4"/>
        <v/>
      </c>
      <c r="K102" s="11" t="str">
        <f>IF(A102="","",SUMIF(Receipts!$B$5:$B$510,A102,Receipts!$D$5:$D$510))</f>
        <v/>
      </c>
      <c r="L102" s="11" t="str">
        <f t="shared" si="5"/>
        <v/>
      </c>
      <c r="M102" s="12" t="str">
        <f>IF(COUNTIF(Receipts!$B$5:$B$510,A102)=0,"",IFERROR(LOOKUP(2,1/(Receipts!$B$5:$B$510=A102),Receipts!$C$5:$C$510),""))</f>
        <v/>
      </c>
      <c r="N102" s="6" t="str">
        <f t="shared" ca="1" si="6"/>
        <v/>
      </c>
      <c r="O102" s="11" t="str">
        <f t="shared" ca="1" si="7"/>
        <v/>
      </c>
      <c r="P102" s="5"/>
    </row>
    <row r="103" spans="1:16" x14ac:dyDescent="0.25">
      <c r="A103" s="5"/>
      <c r="B103" s="5"/>
      <c r="C103" s="6" t="str">
        <f>IFERROR(INDEX(Suppliers!$B$5:$B$104,MATCH(B103,Suppliers!$A$5:$A$104,0)),"")</f>
        <v/>
      </c>
      <c r="D103" s="5"/>
      <c r="E103" s="5"/>
      <c r="F103" s="7"/>
      <c r="G103" s="7"/>
      <c r="H103" s="8"/>
      <c r="I103" s="9"/>
      <c r="J103" s="10" t="str">
        <f t="shared" si="4"/>
        <v/>
      </c>
      <c r="K103" s="11" t="str">
        <f>IF(A103="","",SUMIF(Receipts!$B$5:$B$510,A103,Receipts!$D$5:$D$510))</f>
        <v/>
      </c>
      <c r="L103" s="11" t="str">
        <f t="shared" si="5"/>
        <v/>
      </c>
      <c r="M103" s="12" t="str">
        <f>IF(COUNTIF(Receipts!$B$5:$B$510,A103)=0,"",IFERROR(LOOKUP(2,1/(Receipts!$B$5:$B$510=A103),Receipts!$C$5:$C$510),""))</f>
        <v/>
      </c>
      <c r="N103" s="6" t="str">
        <f t="shared" ca="1" si="6"/>
        <v/>
      </c>
      <c r="O103" s="11" t="str">
        <f t="shared" ca="1" si="7"/>
        <v/>
      </c>
      <c r="P103" s="5"/>
    </row>
    <row r="104" spans="1:16" x14ac:dyDescent="0.25">
      <c r="A104" s="5"/>
      <c r="B104" s="5"/>
      <c r="C104" s="6" t="str">
        <f>IFERROR(INDEX(Suppliers!$B$5:$B$104,MATCH(B104,Suppliers!$A$5:$A$104,0)),"")</f>
        <v/>
      </c>
      <c r="D104" s="5"/>
      <c r="E104" s="5"/>
      <c r="F104" s="7"/>
      <c r="G104" s="7"/>
      <c r="H104" s="8"/>
      <c r="I104" s="9"/>
      <c r="J104" s="10" t="str">
        <f t="shared" si="4"/>
        <v/>
      </c>
      <c r="K104" s="11" t="str">
        <f>IF(A104="","",SUMIF(Receipts!$B$5:$B$510,A104,Receipts!$D$5:$D$510))</f>
        <v/>
      </c>
      <c r="L104" s="11" t="str">
        <f t="shared" si="5"/>
        <v/>
      </c>
      <c r="M104" s="12" t="str">
        <f>IF(COUNTIF(Receipts!$B$5:$B$510,A104)=0,"",IFERROR(LOOKUP(2,1/(Receipts!$B$5:$B$510=A104),Receipts!$C$5:$C$510),""))</f>
        <v/>
      </c>
      <c r="N104" s="6" t="str">
        <f t="shared" ca="1" si="6"/>
        <v/>
      </c>
      <c r="O104" s="11" t="str">
        <f t="shared" ca="1" si="7"/>
        <v/>
      </c>
      <c r="P104" s="5"/>
    </row>
    <row r="105" spans="1:16" x14ac:dyDescent="0.25">
      <c r="A105" s="5"/>
      <c r="B105" s="5"/>
      <c r="C105" s="6" t="str">
        <f>IFERROR(INDEX(Suppliers!$B$5:$B$104,MATCH(B105,Suppliers!$A$5:$A$104,0)),"")</f>
        <v/>
      </c>
      <c r="D105" s="5"/>
      <c r="E105" s="5"/>
      <c r="F105" s="7"/>
      <c r="G105" s="7"/>
      <c r="H105" s="8"/>
      <c r="I105" s="9"/>
      <c r="J105" s="10" t="str">
        <f t="shared" si="4"/>
        <v/>
      </c>
      <c r="K105" s="11" t="str">
        <f>IF(A105="","",SUMIF(Receipts!$B$5:$B$510,A105,Receipts!$D$5:$D$510))</f>
        <v/>
      </c>
      <c r="L105" s="11" t="str">
        <f t="shared" si="5"/>
        <v/>
      </c>
      <c r="M105" s="12" t="str">
        <f>IF(COUNTIF(Receipts!$B$5:$B$510,A105)=0,"",IFERROR(LOOKUP(2,1/(Receipts!$B$5:$B$510=A105),Receipts!$C$5:$C$510),""))</f>
        <v/>
      </c>
      <c r="N105" s="6" t="str">
        <f t="shared" ca="1" si="6"/>
        <v/>
      </c>
      <c r="O105" s="11" t="str">
        <f t="shared" ca="1" si="7"/>
        <v/>
      </c>
      <c r="P105" s="5"/>
    </row>
    <row r="106" spans="1:16" x14ac:dyDescent="0.25">
      <c r="A106" s="5"/>
      <c r="B106" s="5"/>
      <c r="C106" s="6" t="str">
        <f>IFERROR(INDEX(Suppliers!$B$5:$B$104,MATCH(B106,Suppliers!$A$5:$A$104,0)),"")</f>
        <v/>
      </c>
      <c r="D106" s="5"/>
      <c r="E106" s="5"/>
      <c r="F106" s="7"/>
      <c r="G106" s="7"/>
      <c r="H106" s="8"/>
      <c r="I106" s="9"/>
      <c r="J106" s="10" t="str">
        <f t="shared" si="4"/>
        <v/>
      </c>
      <c r="K106" s="11" t="str">
        <f>IF(A106="","",SUMIF(Receipts!$B$5:$B$510,A106,Receipts!$D$5:$D$510))</f>
        <v/>
      </c>
      <c r="L106" s="11" t="str">
        <f t="shared" si="5"/>
        <v/>
      </c>
      <c r="M106" s="12" t="str">
        <f>IF(COUNTIF(Receipts!$B$5:$B$510,A106)=0,"",IFERROR(LOOKUP(2,1/(Receipts!$B$5:$B$510=A106),Receipts!$C$5:$C$510),""))</f>
        <v/>
      </c>
      <c r="N106" s="6" t="str">
        <f t="shared" ca="1" si="6"/>
        <v/>
      </c>
      <c r="O106" s="11" t="str">
        <f t="shared" ca="1" si="7"/>
        <v/>
      </c>
      <c r="P106" s="5"/>
    </row>
    <row r="107" spans="1:16" x14ac:dyDescent="0.25">
      <c r="A107" s="5"/>
      <c r="B107" s="5"/>
      <c r="C107" s="6" t="str">
        <f>IFERROR(INDEX(Suppliers!$B$5:$B$104,MATCH(B107,Suppliers!$A$5:$A$104,0)),"")</f>
        <v/>
      </c>
      <c r="D107" s="5"/>
      <c r="E107" s="5"/>
      <c r="F107" s="7"/>
      <c r="G107" s="7"/>
      <c r="H107" s="8"/>
      <c r="I107" s="9"/>
      <c r="J107" s="10" t="str">
        <f t="shared" si="4"/>
        <v/>
      </c>
      <c r="K107" s="11" t="str">
        <f>IF(A107="","",SUMIF(Receipts!$B$5:$B$510,A107,Receipts!$D$5:$D$510))</f>
        <v/>
      </c>
      <c r="L107" s="11" t="str">
        <f t="shared" si="5"/>
        <v/>
      </c>
      <c r="M107" s="12" t="str">
        <f>IF(COUNTIF(Receipts!$B$5:$B$510,A107)=0,"",IFERROR(LOOKUP(2,1/(Receipts!$B$5:$B$510=A107),Receipts!$C$5:$C$510),""))</f>
        <v/>
      </c>
      <c r="N107" s="6" t="str">
        <f t="shared" ca="1" si="6"/>
        <v/>
      </c>
      <c r="O107" s="11" t="str">
        <f t="shared" ca="1" si="7"/>
        <v/>
      </c>
      <c r="P107" s="5"/>
    </row>
    <row r="108" spans="1:16" x14ac:dyDescent="0.25">
      <c r="A108" s="5"/>
      <c r="B108" s="5"/>
      <c r="C108" s="6" t="str">
        <f>IFERROR(INDEX(Suppliers!$B$5:$B$104,MATCH(B108,Suppliers!$A$5:$A$104,0)),"")</f>
        <v/>
      </c>
      <c r="D108" s="5"/>
      <c r="E108" s="5"/>
      <c r="F108" s="7"/>
      <c r="G108" s="7"/>
      <c r="H108" s="8"/>
      <c r="I108" s="9"/>
      <c r="J108" s="10" t="str">
        <f t="shared" si="4"/>
        <v/>
      </c>
      <c r="K108" s="11" t="str">
        <f>IF(A108="","",SUMIF(Receipts!$B$5:$B$510,A108,Receipts!$D$5:$D$510))</f>
        <v/>
      </c>
      <c r="L108" s="11" t="str">
        <f t="shared" si="5"/>
        <v/>
      </c>
      <c r="M108" s="12" t="str">
        <f>IF(COUNTIF(Receipts!$B$5:$B$510,A108)=0,"",IFERROR(LOOKUP(2,1/(Receipts!$B$5:$B$510=A108),Receipts!$C$5:$C$510),""))</f>
        <v/>
      </c>
      <c r="N108" s="6" t="str">
        <f t="shared" ca="1" si="6"/>
        <v/>
      </c>
      <c r="O108" s="11" t="str">
        <f t="shared" ca="1" si="7"/>
        <v/>
      </c>
      <c r="P108" s="5"/>
    </row>
    <row r="109" spans="1:16" x14ac:dyDescent="0.25">
      <c r="A109" s="5"/>
      <c r="B109" s="5"/>
      <c r="C109" s="6" t="str">
        <f>IFERROR(INDEX(Suppliers!$B$5:$B$104,MATCH(B109,Suppliers!$A$5:$A$104,0)),"")</f>
        <v/>
      </c>
      <c r="D109" s="5"/>
      <c r="E109" s="5"/>
      <c r="F109" s="7"/>
      <c r="G109" s="7"/>
      <c r="H109" s="8"/>
      <c r="I109" s="9"/>
      <c r="J109" s="10" t="str">
        <f t="shared" si="4"/>
        <v/>
      </c>
      <c r="K109" s="11" t="str">
        <f>IF(A109="","",SUMIF(Receipts!$B$5:$B$510,A109,Receipts!$D$5:$D$510))</f>
        <v/>
      </c>
      <c r="L109" s="11" t="str">
        <f t="shared" si="5"/>
        <v/>
      </c>
      <c r="M109" s="12" t="str">
        <f>IF(COUNTIF(Receipts!$B$5:$B$510,A109)=0,"",IFERROR(LOOKUP(2,1/(Receipts!$B$5:$B$510=A109),Receipts!$C$5:$C$510),""))</f>
        <v/>
      </c>
      <c r="N109" s="6" t="str">
        <f t="shared" ca="1" si="6"/>
        <v/>
      </c>
      <c r="O109" s="11" t="str">
        <f t="shared" ca="1" si="7"/>
        <v/>
      </c>
      <c r="P109" s="5"/>
    </row>
    <row r="110" spans="1:16" x14ac:dyDescent="0.25">
      <c r="A110" s="5"/>
      <c r="B110" s="5"/>
      <c r="C110" s="6" t="str">
        <f>IFERROR(INDEX(Suppliers!$B$5:$B$104,MATCH(B110,Suppliers!$A$5:$A$104,0)),"")</f>
        <v/>
      </c>
      <c r="D110" s="5"/>
      <c r="E110" s="5"/>
      <c r="F110" s="7"/>
      <c r="G110" s="7"/>
      <c r="H110" s="8"/>
      <c r="I110" s="9"/>
      <c r="J110" s="10" t="str">
        <f t="shared" si="4"/>
        <v/>
      </c>
      <c r="K110" s="11" t="str">
        <f>IF(A110="","",SUMIF(Receipts!$B$5:$B$510,A110,Receipts!$D$5:$D$510))</f>
        <v/>
      </c>
      <c r="L110" s="11" t="str">
        <f t="shared" si="5"/>
        <v/>
      </c>
      <c r="M110" s="12" t="str">
        <f>IF(COUNTIF(Receipts!$B$5:$B$510,A110)=0,"",IFERROR(LOOKUP(2,1/(Receipts!$B$5:$B$510=A110),Receipts!$C$5:$C$510),""))</f>
        <v/>
      </c>
      <c r="N110" s="6" t="str">
        <f t="shared" ca="1" si="6"/>
        <v/>
      </c>
      <c r="O110" s="11" t="str">
        <f t="shared" ca="1" si="7"/>
        <v/>
      </c>
      <c r="P110" s="5"/>
    </row>
    <row r="111" spans="1:16" x14ac:dyDescent="0.25">
      <c r="A111" s="5"/>
      <c r="B111" s="5"/>
      <c r="C111" s="6" t="str">
        <f>IFERROR(INDEX(Suppliers!$B$5:$B$104,MATCH(B111,Suppliers!$A$5:$A$104,0)),"")</f>
        <v/>
      </c>
      <c r="D111" s="5"/>
      <c r="E111" s="5"/>
      <c r="F111" s="7"/>
      <c r="G111" s="7"/>
      <c r="H111" s="8"/>
      <c r="I111" s="9"/>
      <c r="J111" s="10" t="str">
        <f t="shared" si="4"/>
        <v/>
      </c>
      <c r="K111" s="11" t="str">
        <f>IF(A111="","",SUMIF(Receipts!$B$5:$B$510,A111,Receipts!$D$5:$D$510))</f>
        <v/>
      </c>
      <c r="L111" s="11" t="str">
        <f t="shared" si="5"/>
        <v/>
      </c>
      <c r="M111" s="12" t="str">
        <f>IF(COUNTIF(Receipts!$B$5:$B$510,A111)=0,"",IFERROR(LOOKUP(2,1/(Receipts!$B$5:$B$510=A111),Receipts!$C$5:$C$510),""))</f>
        <v/>
      </c>
      <c r="N111" s="6" t="str">
        <f t="shared" ca="1" si="6"/>
        <v/>
      </c>
      <c r="O111" s="11" t="str">
        <f t="shared" ca="1" si="7"/>
        <v/>
      </c>
      <c r="P111" s="5"/>
    </row>
    <row r="112" spans="1:16" x14ac:dyDescent="0.25">
      <c r="A112" s="5"/>
      <c r="B112" s="5"/>
      <c r="C112" s="6" t="str">
        <f>IFERROR(INDEX(Suppliers!$B$5:$B$104,MATCH(B112,Suppliers!$A$5:$A$104,0)),"")</f>
        <v/>
      </c>
      <c r="D112" s="5"/>
      <c r="E112" s="5"/>
      <c r="F112" s="7"/>
      <c r="G112" s="7"/>
      <c r="H112" s="8"/>
      <c r="I112" s="9"/>
      <c r="J112" s="10" t="str">
        <f t="shared" si="4"/>
        <v/>
      </c>
      <c r="K112" s="11" t="str">
        <f>IF(A112="","",SUMIF(Receipts!$B$5:$B$510,A112,Receipts!$D$5:$D$510))</f>
        <v/>
      </c>
      <c r="L112" s="11" t="str">
        <f t="shared" si="5"/>
        <v/>
      </c>
      <c r="M112" s="12" t="str">
        <f>IF(COUNTIF(Receipts!$B$5:$B$510,A112)=0,"",IFERROR(LOOKUP(2,1/(Receipts!$B$5:$B$510=A112),Receipts!$C$5:$C$510),""))</f>
        <v/>
      </c>
      <c r="N112" s="6" t="str">
        <f t="shared" ca="1" si="6"/>
        <v/>
      </c>
      <c r="O112" s="11" t="str">
        <f t="shared" ca="1" si="7"/>
        <v/>
      </c>
      <c r="P112" s="5"/>
    </row>
    <row r="113" spans="1:16" x14ac:dyDescent="0.25">
      <c r="A113" s="5"/>
      <c r="B113" s="5"/>
      <c r="C113" s="6" t="str">
        <f>IFERROR(INDEX(Suppliers!$B$5:$B$104,MATCH(B113,Suppliers!$A$5:$A$104,0)),"")</f>
        <v/>
      </c>
      <c r="D113" s="5"/>
      <c r="E113" s="5"/>
      <c r="F113" s="7"/>
      <c r="G113" s="7"/>
      <c r="H113" s="8"/>
      <c r="I113" s="9"/>
      <c r="J113" s="10" t="str">
        <f t="shared" si="4"/>
        <v/>
      </c>
      <c r="K113" s="11" t="str">
        <f>IF(A113="","",SUMIF(Receipts!$B$5:$B$510,A113,Receipts!$D$5:$D$510))</f>
        <v/>
      </c>
      <c r="L113" s="11" t="str">
        <f t="shared" si="5"/>
        <v/>
      </c>
      <c r="M113" s="12" t="str">
        <f>IF(COUNTIF(Receipts!$B$5:$B$510,A113)=0,"",IFERROR(LOOKUP(2,1/(Receipts!$B$5:$B$510=A113),Receipts!$C$5:$C$510),""))</f>
        <v/>
      </c>
      <c r="N113" s="6" t="str">
        <f t="shared" ca="1" si="6"/>
        <v/>
      </c>
      <c r="O113" s="11" t="str">
        <f t="shared" ca="1" si="7"/>
        <v/>
      </c>
      <c r="P113" s="5"/>
    </row>
    <row r="114" spans="1:16" x14ac:dyDescent="0.25">
      <c r="A114" s="5"/>
      <c r="B114" s="5"/>
      <c r="C114" s="6" t="str">
        <f>IFERROR(INDEX(Suppliers!$B$5:$B$104,MATCH(B114,Suppliers!$A$5:$A$104,0)),"")</f>
        <v/>
      </c>
      <c r="D114" s="5"/>
      <c r="E114" s="5"/>
      <c r="F114" s="7"/>
      <c r="G114" s="7"/>
      <c r="H114" s="8"/>
      <c r="I114" s="9"/>
      <c r="J114" s="10" t="str">
        <f t="shared" si="4"/>
        <v/>
      </c>
      <c r="K114" s="11" t="str">
        <f>IF(A114="","",SUMIF(Receipts!$B$5:$B$510,A114,Receipts!$D$5:$D$510))</f>
        <v/>
      </c>
      <c r="L114" s="11" t="str">
        <f t="shared" si="5"/>
        <v/>
      </c>
      <c r="M114" s="12" t="str">
        <f>IF(COUNTIF(Receipts!$B$5:$B$510,A114)=0,"",IFERROR(LOOKUP(2,1/(Receipts!$B$5:$B$510=A114),Receipts!$C$5:$C$510),""))</f>
        <v/>
      </c>
      <c r="N114" s="6" t="str">
        <f t="shared" ca="1" si="6"/>
        <v/>
      </c>
      <c r="O114" s="11" t="str">
        <f t="shared" ca="1" si="7"/>
        <v/>
      </c>
      <c r="P114" s="5"/>
    </row>
    <row r="115" spans="1:16" x14ac:dyDescent="0.25">
      <c r="A115" s="5"/>
      <c r="B115" s="5"/>
      <c r="C115" s="6" t="str">
        <f>IFERROR(INDEX(Suppliers!$B$5:$B$104,MATCH(B115,Suppliers!$A$5:$A$104,0)),"")</f>
        <v/>
      </c>
      <c r="D115" s="5"/>
      <c r="E115" s="5"/>
      <c r="F115" s="7"/>
      <c r="G115" s="7"/>
      <c r="H115" s="8"/>
      <c r="I115" s="9"/>
      <c r="J115" s="10" t="str">
        <f t="shared" si="4"/>
        <v/>
      </c>
      <c r="K115" s="11" t="str">
        <f>IF(A115="","",SUMIF(Receipts!$B$5:$B$510,A115,Receipts!$D$5:$D$510))</f>
        <v/>
      </c>
      <c r="L115" s="11" t="str">
        <f t="shared" si="5"/>
        <v/>
      </c>
      <c r="M115" s="12" t="str">
        <f>IF(COUNTIF(Receipts!$B$5:$B$510,A115)=0,"",IFERROR(LOOKUP(2,1/(Receipts!$B$5:$B$510=A115),Receipts!$C$5:$C$510),""))</f>
        <v/>
      </c>
      <c r="N115" s="6" t="str">
        <f t="shared" ca="1" si="6"/>
        <v/>
      </c>
      <c r="O115" s="11" t="str">
        <f t="shared" ca="1" si="7"/>
        <v/>
      </c>
      <c r="P115" s="5"/>
    </row>
    <row r="116" spans="1:16" x14ac:dyDescent="0.25">
      <c r="A116" s="5"/>
      <c r="B116" s="5"/>
      <c r="C116" s="6" t="str">
        <f>IFERROR(INDEX(Suppliers!$B$5:$B$104,MATCH(B116,Suppliers!$A$5:$A$104,0)),"")</f>
        <v/>
      </c>
      <c r="D116" s="5"/>
      <c r="E116" s="5"/>
      <c r="F116" s="7"/>
      <c r="G116" s="7"/>
      <c r="H116" s="8"/>
      <c r="I116" s="9"/>
      <c r="J116" s="10" t="str">
        <f t="shared" si="4"/>
        <v/>
      </c>
      <c r="K116" s="11" t="str">
        <f>IF(A116="","",SUMIF(Receipts!$B$5:$B$510,A116,Receipts!$D$5:$D$510))</f>
        <v/>
      </c>
      <c r="L116" s="11" t="str">
        <f t="shared" si="5"/>
        <v/>
      </c>
      <c r="M116" s="12" t="str">
        <f>IF(COUNTIF(Receipts!$B$5:$B$510,A116)=0,"",IFERROR(LOOKUP(2,1/(Receipts!$B$5:$B$510=A116),Receipts!$C$5:$C$510),""))</f>
        <v/>
      </c>
      <c r="N116" s="6" t="str">
        <f t="shared" ca="1" si="6"/>
        <v/>
      </c>
      <c r="O116" s="11" t="str">
        <f t="shared" ca="1" si="7"/>
        <v/>
      </c>
      <c r="P116" s="5"/>
    </row>
    <row r="117" spans="1:16" x14ac:dyDescent="0.25">
      <c r="A117" s="5"/>
      <c r="B117" s="5"/>
      <c r="C117" s="6" t="str">
        <f>IFERROR(INDEX(Suppliers!$B$5:$B$104,MATCH(B117,Suppliers!$A$5:$A$104,0)),"")</f>
        <v/>
      </c>
      <c r="D117" s="5"/>
      <c r="E117" s="5"/>
      <c r="F117" s="7"/>
      <c r="G117" s="7"/>
      <c r="H117" s="8"/>
      <c r="I117" s="9"/>
      <c r="J117" s="10" t="str">
        <f t="shared" si="4"/>
        <v/>
      </c>
      <c r="K117" s="11" t="str">
        <f>IF(A117="","",SUMIF(Receipts!$B$5:$B$510,A117,Receipts!$D$5:$D$510))</f>
        <v/>
      </c>
      <c r="L117" s="11" t="str">
        <f t="shared" si="5"/>
        <v/>
      </c>
      <c r="M117" s="12" t="str">
        <f>IF(COUNTIF(Receipts!$B$5:$B$510,A117)=0,"",IFERROR(LOOKUP(2,1/(Receipts!$B$5:$B$510=A117),Receipts!$C$5:$C$510),""))</f>
        <v/>
      </c>
      <c r="N117" s="6" t="str">
        <f t="shared" ca="1" si="6"/>
        <v/>
      </c>
      <c r="O117" s="11" t="str">
        <f t="shared" ca="1" si="7"/>
        <v/>
      </c>
      <c r="P117" s="5"/>
    </row>
    <row r="118" spans="1:16" x14ac:dyDescent="0.25">
      <c r="A118" s="5"/>
      <c r="B118" s="5"/>
      <c r="C118" s="6" t="str">
        <f>IFERROR(INDEX(Suppliers!$B$5:$B$104,MATCH(B118,Suppliers!$A$5:$A$104,0)),"")</f>
        <v/>
      </c>
      <c r="D118" s="5"/>
      <c r="E118" s="5"/>
      <c r="F118" s="7"/>
      <c r="G118" s="7"/>
      <c r="H118" s="8"/>
      <c r="I118" s="9"/>
      <c r="J118" s="10" t="str">
        <f t="shared" si="4"/>
        <v/>
      </c>
      <c r="K118" s="11" t="str">
        <f>IF(A118="","",SUMIF(Receipts!$B$5:$B$510,A118,Receipts!$D$5:$D$510))</f>
        <v/>
      </c>
      <c r="L118" s="11" t="str">
        <f t="shared" si="5"/>
        <v/>
      </c>
      <c r="M118" s="12" t="str">
        <f>IF(COUNTIF(Receipts!$B$5:$B$510,A118)=0,"",IFERROR(LOOKUP(2,1/(Receipts!$B$5:$B$510=A118),Receipts!$C$5:$C$510),""))</f>
        <v/>
      </c>
      <c r="N118" s="6" t="str">
        <f t="shared" ca="1" si="6"/>
        <v/>
      </c>
      <c r="O118" s="11" t="str">
        <f t="shared" ca="1" si="7"/>
        <v/>
      </c>
      <c r="P118" s="5"/>
    </row>
    <row r="119" spans="1:16" x14ac:dyDescent="0.25">
      <c r="A119" s="5"/>
      <c r="B119" s="5"/>
      <c r="C119" s="6" t="str">
        <f>IFERROR(INDEX(Suppliers!$B$5:$B$104,MATCH(B119,Suppliers!$A$5:$A$104,0)),"")</f>
        <v/>
      </c>
      <c r="D119" s="5"/>
      <c r="E119" s="5"/>
      <c r="F119" s="7"/>
      <c r="G119" s="7"/>
      <c r="H119" s="8"/>
      <c r="I119" s="9"/>
      <c r="J119" s="10" t="str">
        <f t="shared" si="4"/>
        <v/>
      </c>
      <c r="K119" s="11" t="str">
        <f>IF(A119="","",SUMIF(Receipts!$B$5:$B$510,A119,Receipts!$D$5:$D$510))</f>
        <v/>
      </c>
      <c r="L119" s="11" t="str">
        <f t="shared" si="5"/>
        <v/>
      </c>
      <c r="M119" s="12" t="str">
        <f>IF(COUNTIF(Receipts!$B$5:$B$510,A119)=0,"",IFERROR(LOOKUP(2,1/(Receipts!$B$5:$B$510=A119),Receipts!$C$5:$C$510),""))</f>
        <v/>
      </c>
      <c r="N119" s="6" t="str">
        <f t="shared" ca="1" si="6"/>
        <v/>
      </c>
      <c r="O119" s="11" t="str">
        <f t="shared" ca="1" si="7"/>
        <v/>
      </c>
      <c r="P119" s="5"/>
    </row>
    <row r="120" spans="1:16" x14ac:dyDescent="0.25">
      <c r="A120" s="5"/>
      <c r="B120" s="5"/>
      <c r="C120" s="6" t="str">
        <f>IFERROR(INDEX(Suppliers!$B$5:$B$104,MATCH(B120,Suppliers!$A$5:$A$104,0)),"")</f>
        <v/>
      </c>
      <c r="D120" s="5"/>
      <c r="E120" s="5"/>
      <c r="F120" s="7"/>
      <c r="G120" s="7"/>
      <c r="H120" s="8"/>
      <c r="I120" s="9"/>
      <c r="J120" s="10" t="str">
        <f t="shared" si="4"/>
        <v/>
      </c>
      <c r="K120" s="11" t="str">
        <f>IF(A120="","",SUMIF(Receipts!$B$5:$B$510,A120,Receipts!$D$5:$D$510))</f>
        <v/>
      </c>
      <c r="L120" s="11" t="str">
        <f t="shared" si="5"/>
        <v/>
      </c>
      <c r="M120" s="12" t="str">
        <f>IF(COUNTIF(Receipts!$B$5:$B$510,A120)=0,"",IFERROR(LOOKUP(2,1/(Receipts!$B$5:$B$510=A120),Receipts!$C$5:$C$510),""))</f>
        <v/>
      </c>
      <c r="N120" s="6" t="str">
        <f t="shared" ca="1" si="6"/>
        <v/>
      </c>
      <c r="O120" s="11" t="str">
        <f t="shared" ca="1" si="7"/>
        <v/>
      </c>
      <c r="P120" s="5"/>
    </row>
    <row r="121" spans="1:16" x14ac:dyDescent="0.25">
      <c r="A121" s="5"/>
      <c r="B121" s="5"/>
      <c r="C121" s="6" t="str">
        <f>IFERROR(INDEX(Suppliers!$B$5:$B$104,MATCH(B121,Suppliers!$A$5:$A$104,0)),"")</f>
        <v/>
      </c>
      <c r="D121" s="5"/>
      <c r="E121" s="5"/>
      <c r="F121" s="7"/>
      <c r="G121" s="7"/>
      <c r="H121" s="8"/>
      <c r="I121" s="9"/>
      <c r="J121" s="10" t="str">
        <f t="shared" si="4"/>
        <v/>
      </c>
      <c r="K121" s="11" t="str">
        <f>IF(A121="","",SUMIF(Receipts!$B$5:$B$510,A121,Receipts!$D$5:$D$510))</f>
        <v/>
      </c>
      <c r="L121" s="11" t="str">
        <f t="shared" si="5"/>
        <v/>
      </c>
      <c r="M121" s="12" t="str">
        <f>IF(COUNTIF(Receipts!$B$5:$B$510,A121)=0,"",IFERROR(LOOKUP(2,1/(Receipts!$B$5:$B$510=A121),Receipts!$C$5:$C$510),""))</f>
        <v/>
      </c>
      <c r="N121" s="6" t="str">
        <f t="shared" ca="1" si="6"/>
        <v/>
      </c>
      <c r="O121" s="11" t="str">
        <f t="shared" ca="1" si="7"/>
        <v/>
      </c>
      <c r="P121" s="5"/>
    </row>
    <row r="122" spans="1:16" x14ac:dyDescent="0.25">
      <c r="A122" s="5"/>
      <c r="B122" s="5"/>
      <c r="C122" s="6" t="str">
        <f>IFERROR(INDEX(Suppliers!$B$5:$B$104,MATCH(B122,Suppliers!$A$5:$A$104,0)),"")</f>
        <v/>
      </c>
      <c r="D122" s="5"/>
      <c r="E122" s="5"/>
      <c r="F122" s="7"/>
      <c r="G122" s="7"/>
      <c r="H122" s="8"/>
      <c r="I122" s="9"/>
      <c r="J122" s="10" t="str">
        <f t="shared" si="4"/>
        <v/>
      </c>
      <c r="K122" s="11" t="str">
        <f>IF(A122="","",SUMIF(Receipts!$B$5:$B$510,A122,Receipts!$D$5:$D$510))</f>
        <v/>
      </c>
      <c r="L122" s="11" t="str">
        <f t="shared" si="5"/>
        <v/>
      </c>
      <c r="M122" s="12" t="str">
        <f>IF(COUNTIF(Receipts!$B$5:$B$510,A122)=0,"",IFERROR(LOOKUP(2,1/(Receipts!$B$5:$B$510=A122),Receipts!$C$5:$C$510),""))</f>
        <v/>
      </c>
      <c r="N122" s="6" t="str">
        <f t="shared" ca="1" si="6"/>
        <v/>
      </c>
      <c r="O122" s="11" t="str">
        <f t="shared" ca="1" si="7"/>
        <v/>
      </c>
      <c r="P122" s="5"/>
    </row>
    <row r="123" spans="1:16" x14ac:dyDescent="0.25">
      <c r="A123" s="5"/>
      <c r="B123" s="5"/>
      <c r="C123" s="6" t="str">
        <f>IFERROR(INDEX(Suppliers!$B$5:$B$104,MATCH(B123,Suppliers!$A$5:$A$104,0)),"")</f>
        <v/>
      </c>
      <c r="D123" s="5"/>
      <c r="E123" s="5"/>
      <c r="F123" s="7"/>
      <c r="G123" s="7"/>
      <c r="H123" s="8"/>
      <c r="I123" s="9"/>
      <c r="J123" s="10" t="str">
        <f t="shared" si="4"/>
        <v/>
      </c>
      <c r="K123" s="11" t="str">
        <f>IF(A123="","",SUMIF(Receipts!$B$5:$B$510,A123,Receipts!$D$5:$D$510))</f>
        <v/>
      </c>
      <c r="L123" s="11" t="str">
        <f t="shared" si="5"/>
        <v/>
      </c>
      <c r="M123" s="12" t="str">
        <f>IF(COUNTIF(Receipts!$B$5:$B$510,A123)=0,"",IFERROR(LOOKUP(2,1/(Receipts!$B$5:$B$510=A123),Receipts!$C$5:$C$510),""))</f>
        <v/>
      </c>
      <c r="N123" s="6" t="str">
        <f t="shared" ca="1" si="6"/>
        <v/>
      </c>
      <c r="O123" s="11" t="str">
        <f t="shared" ca="1" si="7"/>
        <v/>
      </c>
      <c r="P123" s="5"/>
    </row>
    <row r="124" spans="1:16" x14ac:dyDescent="0.25">
      <c r="A124" s="5"/>
      <c r="B124" s="5"/>
      <c r="C124" s="6" t="str">
        <f>IFERROR(INDEX(Suppliers!$B$5:$B$104,MATCH(B124,Suppliers!$A$5:$A$104,0)),"")</f>
        <v/>
      </c>
      <c r="D124" s="5"/>
      <c r="E124" s="5"/>
      <c r="F124" s="7"/>
      <c r="G124" s="7"/>
      <c r="H124" s="8"/>
      <c r="I124" s="9"/>
      <c r="J124" s="10" t="str">
        <f t="shared" si="4"/>
        <v/>
      </c>
      <c r="K124" s="11" t="str">
        <f>IF(A124="","",SUMIF(Receipts!$B$5:$B$510,A124,Receipts!$D$5:$D$510))</f>
        <v/>
      </c>
      <c r="L124" s="11" t="str">
        <f t="shared" si="5"/>
        <v/>
      </c>
      <c r="M124" s="12" t="str">
        <f>IF(COUNTIF(Receipts!$B$5:$B$510,A124)=0,"",IFERROR(LOOKUP(2,1/(Receipts!$B$5:$B$510=A124),Receipts!$C$5:$C$510),""))</f>
        <v/>
      </c>
      <c r="N124" s="6" t="str">
        <f t="shared" ca="1" si="6"/>
        <v/>
      </c>
      <c r="O124" s="11" t="str">
        <f t="shared" ca="1" si="7"/>
        <v/>
      </c>
      <c r="P124" s="5"/>
    </row>
    <row r="125" spans="1:16" x14ac:dyDescent="0.25">
      <c r="A125" s="5"/>
      <c r="B125" s="5"/>
      <c r="C125" s="6" t="str">
        <f>IFERROR(INDEX(Suppliers!$B$5:$B$104,MATCH(B125,Suppliers!$A$5:$A$104,0)),"")</f>
        <v/>
      </c>
      <c r="D125" s="5"/>
      <c r="E125" s="5"/>
      <c r="F125" s="7"/>
      <c r="G125" s="7"/>
      <c r="H125" s="8"/>
      <c r="I125" s="9"/>
      <c r="J125" s="10" t="str">
        <f t="shared" si="4"/>
        <v/>
      </c>
      <c r="K125" s="11" t="str">
        <f>IF(A125="","",SUMIF(Receipts!$B$5:$B$510,A125,Receipts!$D$5:$D$510))</f>
        <v/>
      </c>
      <c r="L125" s="11" t="str">
        <f t="shared" si="5"/>
        <v/>
      </c>
      <c r="M125" s="12" t="str">
        <f>IF(COUNTIF(Receipts!$B$5:$B$510,A125)=0,"",IFERROR(LOOKUP(2,1/(Receipts!$B$5:$B$510=A125),Receipts!$C$5:$C$510),""))</f>
        <v/>
      </c>
      <c r="N125" s="6" t="str">
        <f t="shared" ca="1" si="6"/>
        <v/>
      </c>
      <c r="O125" s="11" t="str">
        <f t="shared" ca="1" si="7"/>
        <v/>
      </c>
      <c r="P125" s="5"/>
    </row>
    <row r="126" spans="1:16" x14ac:dyDescent="0.25">
      <c r="A126" s="5"/>
      <c r="B126" s="5"/>
      <c r="C126" s="6" t="str">
        <f>IFERROR(INDEX(Suppliers!$B$5:$B$104,MATCH(B126,Suppliers!$A$5:$A$104,0)),"")</f>
        <v/>
      </c>
      <c r="D126" s="5"/>
      <c r="E126" s="5"/>
      <c r="F126" s="7"/>
      <c r="G126" s="7"/>
      <c r="H126" s="8"/>
      <c r="I126" s="9"/>
      <c r="J126" s="10" t="str">
        <f t="shared" si="4"/>
        <v/>
      </c>
      <c r="K126" s="11" t="str">
        <f>IF(A126="","",SUMIF(Receipts!$B$5:$B$510,A126,Receipts!$D$5:$D$510))</f>
        <v/>
      </c>
      <c r="L126" s="11" t="str">
        <f t="shared" si="5"/>
        <v/>
      </c>
      <c r="M126" s="12" t="str">
        <f>IF(COUNTIF(Receipts!$B$5:$B$510,A126)=0,"",IFERROR(LOOKUP(2,1/(Receipts!$B$5:$B$510=A126),Receipts!$C$5:$C$510),""))</f>
        <v/>
      </c>
      <c r="N126" s="6" t="str">
        <f t="shared" ca="1" si="6"/>
        <v/>
      </c>
      <c r="O126" s="11" t="str">
        <f t="shared" ca="1" si="7"/>
        <v/>
      </c>
      <c r="P126" s="5"/>
    </row>
    <row r="127" spans="1:16" x14ac:dyDescent="0.25">
      <c r="A127" s="5"/>
      <c r="B127" s="5"/>
      <c r="C127" s="6" t="str">
        <f>IFERROR(INDEX(Suppliers!$B$5:$B$104,MATCH(B127,Suppliers!$A$5:$A$104,0)),"")</f>
        <v/>
      </c>
      <c r="D127" s="5"/>
      <c r="E127" s="5"/>
      <c r="F127" s="7"/>
      <c r="G127" s="7"/>
      <c r="H127" s="8"/>
      <c r="I127" s="9"/>
      <c r="J127" s="10" t="str">
        <f t="shared" si="4"/>
        <v/>
      </c>
      <c r="K127" s="11" t="str">
        <f>IF(A127="","",SUMIF(Receipts!$B$5:$B$510,A127,Receipts!$D$5:$D$510))</f>
        <v/>
      </c>
      <c r="L127" s="11" t="str">
        <f t="shared" si="5"/>
        <v/>
      </c>
      <c r="M127" s="12" t="str">
        <f>IF(COUNTIF(Receipts!$B$5:$B$510,A127)=0,"",IFERROR(LOOKUP(2,1/(Receipts!$B$5:$B$510=A127),Receipts!$C$5:$C$510),""))</f>
        <v/>
      </c>
      <c r="N127" s="6" t="str">
        <f t="shared" ca="1" si="6"/>
        <v/>
      </c>
      <c r="O127" s="11" t="str">
        <f t="shared" ca="1" si="7"/>
        <v/>
      </c>
      <c r="P127" s="5"/>
    </row>
    <row r="128" spans="1:16" x14ac:dyDescent="0.25">
      <c r="A128" s="5"/>
      <c r="B128" s="5"/>
      <c r="C128" s="6" t="str">
        <f>IFERROR(INDEX(Suppliers!$B$5:$B$104,MATCH(B128,Suppliers!$A$5:$A$104,0)),"")</f>
        <v/>
      </c>
      <c r="D128" s="5"/>
      <c r="E128" s="5"/>
      <c r="F128" s="7"/>
      <c r="G128" s="7"/>
      <c r="H128" s="8"/>
      <c r="I128" s="9"/>
      <c r="J128" s="10" t="str">
        <f t="shared" si="4"/>
        <v/>
      </c>
      <c r="K128" s="11" t="str">
        <f>IF(A128="","",SUMIF(Receipts!$B$5:$B$510,A128,Receipts!$D$5:$D$510))</f>
        <v/>
      </c>
      <c r="L128" s="11" t="str">
        <f t="shared" si="5"/>
        <v/>
      </c>
      <c r="M128" s="12" t="str">
        <f>IF(COUNTIF(Receipts!$B$5:$B$510,A128)=0,"",IFERROR(LOOKUP(2,1/(Receipts!$B$5:$B$510=A128),Receipts!$C$5:$C$510),""))</f>
        <v/>
      </c>
      <c r="N128" s="6" t="str">
        <f t="shared" ca="1" si="6"/>
        <v/>
      </c>
      <c r="O128" s="11" t="str">
        <f t="shared" ca="1" si="7"/>
        <v/>
      </c>
      <c r="P128" s="5"/>
    </row>
    <row r="129" spans="1:16" x14ac:dyDescent="0.25">
      <c r="A129" s="5"/>
      <c r="B129" s="5"/>
      <c r="C129" s="6" t="str">
        <f>IFERROR(INDEX(Suppliers!$B$5:$B$104,MATCH(B129,Suppliers!$A$5:$A$104,0)),"")</f>
        <v/>
      </c>
      <c r="D129" s="5"/>
      <c r="E129" s="5"/>
      <c r="F129" s="7"/>
      <c r="G129" s="7"/>
      <c r="H129" s="8"/>
      <c r="I129" s="9"/>
      <c r="J129" s="10" t="str">
        <f t="shared" si="4"/>
        <v/>
      </c>
      <c r="K129" s="11" t="str">
        <f>IF(A129="","",SUMIF(Receipts!$B$5:$B$510,A129,Receipts!$D$5:$D$510))</f>
        <v/>
      </c>
      <c r="L129" s="11" t="str">
        <f t="shared" si="5"/>
        <v/>
      </c>
      <c r="M129" s="12" t="str">
        <f>IF(COUNTIF(Receipts!$B$5:$B$510,A129)=0,"",IFERROR(LOOKUP(2,1/(Receipts!$B$5:$B$510=A129),Receipts!$C$5:$C$510),""))</f>
        <v/>
      </c>
      <c r="N129" s="6" t="str">
        <f t="shared" ca="1" si="6"/>
        <v/>
      </c>
      <c r="O129" s="11" t="str">
        <f t="shared" ca="1" si="7"/>
        <v/>
      </c>
      <c r="P129" s="5"/>
    </row>
    <row r="130" spans="1:16" x14ac:dyDescent="0.25">
      <c r="A130" s="5"/>
      <c r="B130" s="5"/>
      <c r="C130" s="6" t="str">
        <f>IFERROR(INDEX(Suppliers!$B$5:$B$104,MATCH(B130,Suppliers!$A$5:$A$104,0)),"")</f>
        <v/>
      </c>
      <c r="D130" s="5"/>
      <c r="E130" s="5"/>
      <c r="F130" s="7"/>
      <c r="G130" s="7"/>
      <c r="H130" s="8"/>
      <c r="I130" s="9"/>
      <c r="J130" s="10" t="str">
        <f t="shared" si="4"/>
        <v/>
      </c>
      <c r="K130" s="11" t="str">
        <f>IF(A130="","",SUMIF(Receipts!$B$5:$B$510,A130,Receipts!$D$5:$D$510))</f>
        <v/>
      </c>
      <c r="L130" s="11" t="str">
        <f t="shared" si="5"/>
        <v/>
      </c>
      <c r="M130" s="12" t="str">
        <f>IF(COUNTIF(Receipts!$B$5:$B$510,A130)=0,"",IFERROR(LOOKUP(2,1/(Receipts!$B$5:$B$510=A130),Receipts!$C$5:$C$510),""))</f>
        <v/>
      </c>
      <c r="N130" s="6" t="str">
        <f t="shared" ca="1" si="6"/>
        <v/>
      </c>
      <c r="O130" s="11" t="str">
        <f t="shared" ca="1" si="7"/>
        <v/>
      </c>
      <c r="P130" s="5"/>
    </row>
    <row r="131" spans="1:16" x14ac:dyDescent="0.25">
      <c r="A131" s="5"/>
      <c r="B131" s="5"/>
      <c r="C131" s="6" t="str">
        <f>IFERROR(INDEX(Suppliers!$B$5:$B$104,MATCH(B131,Suppliers!$A$5:$A$104,0)),"")</f>
        <v/>
      </c>
      <c r="D131" s="5"/>
      <c r="E131" s="5"/>
      <c r="F131" s="7"/>
      <c r="G131" s="7"/>
      <c r="H131" s="8"/>
      <c r="I131" s="9"/>
      <c r="J131" s="10" t="str">
        <f t="shared" si="4"/>
        <v/>
      </c>
      <c r="K131" s="11" t="str">
        <f>IF(A131="","",SUMIF(Receipts!$B$5:$B$510,A131,Receipts!$D$5:$D$510))</f>
        <v/>
      </c>
      <c r="L131" s="11" t="str">
        <f t="shared" si="5"/>
        <v/>
      </c>
      <c r="M131" s="12" t="str">
        <f>IF(COUNTIF(Receipts!$B$5:$B$510,A131)=0,"",IFERROR(LOOKUP(2,1/(Receipts!$B$5:$B$510=A131),Receipts!$C$5:$C$510),""))</f>
        <v/>
      </c>
      <c r="N131" s="6" t="str">
        <f t="shared" ca="1" si="6"/>
        <v/>
      </c>
      <c r="O131" s="11" t="str">
        <f t="shared" ca="1" si="7"/>
        <v/>
      </c>
      <c r="P131" s="5"/>
    </row>
    <row r="132" spans="1:16" x14ac:dyDescent="0.25">
      <c r="A132" s="5"/>
      <c r="B132" s="5"/>
      <c r="C132" s="6" t="str">
        <f>IFERROR(INDEX(Suppliers!$B$5:$B$104,MATCH(B132,Suppliers!$A$5:$A$104,0)),"")</f>
        <v/>
      </c>
      <c r="D132" s="5"/>
      <c r="E132" s="5"/>
      <c r="F132" s="7"/>
      <c r="G132" s="7"/>
      <c r="H132" s="8"/>
      <c r="I132" s="9"/>
      <c r="J132" s="10" t="str">
        <f t="shared" si="4"/>
        <v/>
      </c>
      <c r="K132" s="11" t="str">
        <f>IF(A132="","",SUMIF(Receipts!$B$5:$B$510,A132,Receipts!$D$5:$D$510))</f>
        <v/>
      </c>
      <c r="L132" s="11" t="str">
        <f t="shared" si="5"/>
        <v/>
      </c>
      <c r="M132" s="12" t="str">
        <f>IF(COUNTIF(Receipts!$B$5:$B$510,A132)=0,"",IFERROR(LOOKUP(2,1/(Receipts!$B$5:$B$510=A132),Receipts!$C$5:$C$510),""))</f>
        <v/>
      </c>
      <c r="N132" s="6" t="str">
        <f t="shared" ca="1" si="6"/>
        <v/>
      </c>
      <c r="O132" s="11" t="str">
        <f t="shared" ca="1" si="7"/>
        <v/>
      </c>
      <c r="P132" s="5"/>
    </row>
    <row r="133" spans="1:16" x14ac:dyDescent="0.25">
      <c r="A133" s="5"/>
      <c r="B133" s="5"/>
      <c r="C133" s="6" t="str">
        <f>IFERROR(INDEX(Suppliers!$B$5:$B$104,MATCH(B133,Suppliers!$A$5:$A$104,0)),"")</f>
        <v/>
      </c>
      <c r="D133" s="5"/>
      <c r="E133" s="5"/>
      <c r="F133" s="7"/>
      <c r="G133" s="7"/>
      <c r="H133" s="8"/>
      <c r="I133" s="9"/>
      <c r="J133" s="10" t="str">
        <f t="shared" ref="J133:J196" si="8">IF(OR(H133="",I133=""),"",H133*I133)</f>
        <v/>
      </c>
      <c r="K133" s="11" t="str">
        <f>IF(A133="","",SUMIF(Receipts!$B$5:$B$510,A133,Receipts!$D$5:$D$510))</f>
        <v/>
      </c>
      <c r="L133" s="11" t="str">
        <f t="shared" ref="L133:L196" si="9">IF(A133="","",MAX(0,H133-K133))</f>
        <v/>
      </c>
      <c r="M133" s="12" t="str">
        <f>IF(COUNTIF(Receipts!$B$5:$B$510,A133)=0,"",IFERROR(LOOKUP(2,1/(Receipts!$B$5:$B$510=A133),Receipts!$C$5:$C$510),""))</f>
        <v/>
      </c>
      <c r="N133" s="6" t="str">
        <f t="shared" ref="N133:N196" ca="1" si="10">IF(A133="","",IF(OR(H133="",G133=""),"Incomplete",IF(K133&gt;H133,"Over-received",IF(L133=0,"Complete",IF(K133&gt;0,IF(G133&lt;TODAY(),"Overdue - Partial","Partially Received"),IF(G133&lt;TODAY(),"Overdue","Scheduled"))))))</f>
        <v/>
      </c>
      <c r="O133" s="11" t="str">
        <f t="shared" ref="O133:O196" ca="1" si="11">IF(OR(A133="",L133=0,G133=""),"",MAX(0,TODAY()-G133))</f>
        <v/>
      </c>
      <c r="P133" s="5"/>
    </row>
    <row r="134" spans="1:16" x14ac:dyDescent="0.25">
      <c r="A134" s="5"/>
      <c r="B134" s="5"/>
      <c r="C134" s="6" t="str">
        <f>IFERROR(INDEX(Suppliers!$B$5:$B$104,MATCH(B134,Suppliers!$A$5:$A$104,0)),"")</f>
        <v/>
      </c>
      <c r="D134" s="5"/>
      <c r="E134" s="5"/>
      <c r="F134" s="7"/>
      <c r="G134" s="7"/>
      <c r="H134" s="8"/>
      <c r="I134" s="9"/>
      <c r="J134" s="10" t="str">
        <f t="shared" si="8"/>
        <v/>
      </c>
      <c r="K134" s="11" t="str">
        <f>IF(A134="","",SUMIF(Receipts!$B$5:$B$510,A134,Receipts!$D$5:$D$510))</f>
        <v/>
      </c>
      <c r="L134" s="11" t="str">
        <f t="shared" si="9"/>
        <v/>
      </c>
      <c r="M134" s="12" t="str">
        <f>IF(COUNTIF(Receipts!$B$5:$B$510,A134)=0,"",IFERROR(LOOKUP(2,1/(Receipts!$B$5:$B$510=A134),Receipts!$C$5:$C$510),""))</f>
        <v/>
      </c>
      <c r="N134" s="6" t="str">
        <f t="shared" ca="1" si="10"/>
        <v/>
      </c>
      <c r="O134" s="11" t="str">
        <f t="shared" ca="1" si="11"/>
        <v/>
      </c>
      <c r="P134" s="5"/>
    </row>
    <row r="135" spans="1:16" x14ac:dyDescent="0.25">
      <c r="A135" s="5"/>
      <c r="B135" s="5"/>
      <c r="C135" s="6" t="str">
        <f>IFERROR(INDEX(Suppliers!$B$5:$B$104,MATCH(B135,Suppliers!$A$5:$A$104,0)),"")</f>
        <v/>
      </c>
      <c r="D135" s="5"/>
      <c r="E135" s="5"/>
      <c r="F135" s="7"/>
      <c r="G135" s="7"/>
      <c r="H135" s="8"/>
      <c r="I135" s="9"/>
      <c r="J135" s="10" t="str">
        <f t="shared" si="8"/>
        <v/>
      </c>
      <c r="K135" s="11" t="str">
        <f>IF(A135="","",SUMIF(Receipts!$B$5:$B$510,A135,Receipts!$D$5:$D$510))</f>
        <v/>
      </c>
      <c r="L135" s="11" t="str">
        <f t="shared" si="9"/>
        <v/>
      </c>
      <c r="M135" s="12" t="str">
        <f>IF(COUNTIF(Receipts!$B$5:$B$510,A135)=0,"",IFERROR(LOOKUP(2,1/(Receipts!$B$5:$B$510=A135),Receipts!$C$5:$C$510),""))</f>
        <v/>
      </c>
      <c r="N135" s="6" t="str">
        <f t="shared" ca="1" si="10"/>
        <v/>
      </c>
      <c r="O135" s="11" t="str">
        <f t="shared" ca="1" si="11"/>
        <v/>
      </c>
      <c r="P135" s="5"/>
    </row>
    <row r="136" spans="1:16" x14ac:dyDescent="0.25">
      <c r="A136" s="5"/>
      <c r="B136" s="5"/>
      <c r="C136" s="6" t="str">
        <f>IFERROR(INDEX(Suppliers!$B$5:$B$104,MATCH(B136,Suppliers!$A$5:$A$104,0)),"")</f>
        <v/>
      </c>
      <c r="D136" s="5"/>
      <c r="E136" s="5"/>
      <c r="F136" s="7"/>
      <c r="G136" s="7"/>
      <c r="H136" s="8"/>
      <c r="I136" s="9"/>
      <c r="J136" s="10" t="str">
        <f t="shared" si="8"/>
        <v/>
      </c>
      <c r="K136" s="11" t="str">
        <f>IF(A136="","",SUMIF(Receipts!$B$5:$B$510,A136,Receipts!$D$5:$D$510))</f>
        <v/>
      </c>
      <c r="L136" s="11" t="str">
        <f t="shared" si="9"/>
        <v/>
      </c>
      <c r="M136" s="12" t="str">
        <f>IF(COUNTIF(Receipts!$B$5:$B$510,A136)=0,"",IFERROR(LOOKUP(2,1/(Receipts!$B$5:$B$510=A136),Receipts!$C$5:$C$510),""))</f>
        <v/>
      </c>
      <c r="N136" s="6" t="str">
        <f t="shared" ca="1" si="10"/>
        <v/>
      </c>
      <c r="O136" s="11" t="str">
        <f t="shared" ca="1" si="11"/>
        <v/>
      </c>
      <c r="P136" s="5"/>
    </row>
    <row r="137" spans="1:16" x14ac:dyDescent="0.25">
      <c r="A137" s="5"/>
      <c r="B137" s="5"/>
      <c r="C137" s="6" t="str">
        <f>IFERROR(INDEX(Suppliers!$B$5:$B$104,MATCH(B137,Suppliers!$A$5:$A$104,0)),"")</f>
        <v/>
      </c>
      <c r="D137" s="5"/>
      <c r="E137" s="5"/>
      <c r="F137" s="7"/>
      <c r="G137" s="7"/>
      <c r="H137" s="8"/>
      <c r="I137" s="9"/>
      <c r="J137" s="10" t="str">
        <f t="shared" si="8"/>
        <v/>
      </c>
      <c r="K137" s="11" t="str">
        <f>IF(A137="","",SUMIF(Receipts!$B$5:$B$510,A137,Receipts!$D$5:$D$510))</f>
        <v/>
      </c>
      <c r="L137" s="11" t="str">
        <f t="shared" si="9"/>
        <v/>
      </c>
      <c r="M137" s="12" t="str">
        <f>IF(COUNTIF(Receipts!$B$5:$B$510,A137)=0,"",IFERROR(LOOKUP(2,1/(Receipts!$B$5:$B$510=A137),Receipts!$C$5:$C$510),""))</f>
        <v/>
      </c>
      <c r="N137" s="6" t="str">
        <f t="shared" ca="1" si="10"/>
        <v/>
      </c>
      <c r="O137" s="11" t="str">
        <f t="shared" ca="1" si="11"/>
        <v/>
      </c>
      <c r="P137" s="5"/>
    </row>
    <row r="138" spans="1:16" x14ac:dyDescent="0.25">
      <c r="A138" s="5"/>
      <c r="B138" s="5"/>
      <c r="C138" s="6" t="str">
        <f>IFERROR(INDEX(Suppliers!$B$5:$B$104,MATCH(B138,Suppliers!$A$5:$A$104,0)),"")</f>
        <v/>
      </c>
      <c r="D138" s="5"/>
      <c r="E138" s="5"/>
      <c r="F138" s="7"/>
      <c r="G138" s="7"/>
      <c r="H138" s="8"/>
      <c r="I138" s="9"/>
      <c r="J138" s="10" t="str">
        <f t="shared" si="8"/>
        <v/>
      </c>
      <c r="K138" s="11" t="str">
        <f>IF(A138="","",SUMIF(Receipts!$B$5:$B$510,A138,Receipts!$D$5:$D$510))</f>
        <v/>
      </c>
      <c r="L138" s="11" t="str">
        <f t="shared" si="9"/>
        <v/>
      </c>
      <c r="M138" s="12" t="str">
        <f>IF(COUNTIF(Receipts!$B$5:$B$510,A138)=0,"",IFERROR(LOOKUP(2,1/(Receipts!$B$5:$B$510=A138),Receipts!$C$5:$C$510),""))</f>
        <v/>
      </c>
      <c r="N138" s="6" t="str">
        <f t="shared" ca="1" si="10"/>
        <v/>
      </c>
      <c r="O138" s="11" t="str">
        <f t="shared" ca="1" si="11"/>
        <v/>
      </c>
      <c r="P138" s="5"/>
    </row>
    <row r="139" spans="1:16" x14ac:dyDescent="0.25">
      <c r="A139" s="5"/>
      <c r="B139" s="5"/>
      <c r="C139" s="6" t="str">
        <f>IFERROR(INDEX(Suppliers!$B$5:$B$104,MATCH(B139,Suppliers!$A$5:$A$104,0)),"")</f>
        <v/>
      </c>
      <c r="D139" s="5"/>
      <c r="E139" s="5"/>
      <c r="F139" s="7"/>
      <c r="G139" s="7"/>
      <c r="H139" s="8"/>
      <c r="I139" s="9"/>
      <c r="J139" s="10" t="str">
        <f t="shared" si="8"/>
        <v/>
      </c>
      <c r="K139" s="11" t="str">
        <f>IF(A139="","",SUMIF(Receipts!$B$5:$B$510,A139,Receipts!$D$5:$D$510))</f>
        <v/>
      </c>
      <c r="L139" s="11" t="str">
        <f t="shared" si="9"/>
        <v/>
      </c>
      <c r="M139" s="12" t="str">
        <f>IF(COUNTIF(Receipts!$B$5:$B$510,A139)=0,"",IFERROR(LOOKUP(2,1/(Receipts!$B$5:$B$510=A139),Receipts!$C$5:$C$510),""))</f>
        <v/>
      </c>
      <c r="N139" s="6" t="str">
        <f t="shared" ca="1" si="10"/>
        <v/>
      </c>
      <c r="O139" s="11" t="str">
        <f t="shared" ca="1" si="11"/>
        <v/>
      </c>
      <c r="P139" s="5"/>
    </row>
    <row r="140" spans="1:16" x14ac:dyDescent="0.25">
      <c r="A140" s="5"/>
      <c r="B140" s="5"/>
      <c r="C140" s="6" t="str">
        <f>IFERROR(INDEX(Suppliers!$B$5:$B$104,MATCH(B140,Suppliers!$A$5:$A$104,0)),"")</f>
        <v/>
      </c>
      <c r="D140" s="5"/>
      <c r="E140" s="5"/>
      <c r="F140" s="7"/>
      <c r="G140" s="7"/>
      <c r="H140" s="8"/>
      <c r="I140" s="9"/>
      <c r="J140" s="10" t="str">
        <f t="shared" si="8"/>
        <v/>
      </c>
      <c r="K140" s="11" t="str">
        <f>IF(A140="","",SUMIF(Receipts!$B$5:$B$510,A140,Receipts!$D$5:$D$510))</f>
        <v/>
      </c>
      <c r="L140" s="11" t="str">
        <f t="shared" si="9"/>
        <v/>
      </c>
      <c r="M140" s="12" t="str">
        <f>IF(COUNTIF(Receipts!$B$5:$B$510,A140)=0,"",IFERROR(LOOKUP(2,1/(Receipts!$B$5:$B$510=A140),Receipts!$C$5:$C$510),""))</f>
        <v/>
      </c>
      <c r="N140" s="6" t="str">
        <f t="shared" ca="1" si="10"/>
        <v/>
      </c>
      <c r="O140" s="11" t="str">
        <f t="shared" ca="1" si="11"/>
        <v/>
      </c>
      <c r="P140" s="5"/>
    </row>
    <row r="141" spans="1:16" x14ac:dyDescent="0.25">
      <c r="A141" s="5"/>
      <c r="B141" s="5"/>
      <c r="C141" s="6" t="str">
        <f>IFERROR(INDEX(Suppliers!$B$5:$B$104,MATCH(B141,Suppliers!$A$5:$A$104,0)),"")</f>
        <v/>
      </c>
      <c r="D141" s="5"/>
      <c r="E141" s="5"/>
      <c r="F141" s="7"/>
      <c r="G141" s="7"/>
      <c r="H141" s="8"/>
      <c r="I141" s="9"/>
      <c r="J141" s="10" t="str">
        <f t="shared" si="8"/>
        <v/>
      </c>
      <c r="K141" s="11" t="str">
        <f>IF(A141="","",SUMIF(Receipts!$B$5:$B$510,A141,Receipts!$D$5:$D$510))</f>
        <v/>
      </c>
      <c r="L141" s="11" t="str">
        <f t="shared" si="9"/>
        <v/>
      </c>
      <c r="M141" s="12" t="str">
        <f>IF(COUNTIF(Receipts!$B$5:$B$510,A141)=0,"",IFERROR(LOOKUP(2,1/(Receipts!$B$5:$B$510=A141),Receipts!$C$5:$C$510),""))</f>
        <v/>
      </c>
      <c r="N141" s="6" t="str">
        <f t="shared" ca="1" si="10"/>
        <v/>
      </c>
      <c r="O141" s="11" t="str">
        <f t="shared" ca="1" si="11"/>
        <v/>
      </c>
      <c r="P141" s="5"/>
    </row>
    <row r="142" spans="1:16" x14ac:dyDescent="0.25">
      <c r="A142" s="5"/>
      <c r="B142" s="5"/>
      <c r="C142" s="6" t="str">
        <f>IFERROR(INDEX(Suppliers!$B$5:$B$104,MATCH(B142,Suppliers!$A$5:$A$104,0)),"")</f>
        <v/>
      </c>
      <c r="D142" s="5"/>
      <c r="E142" s="5"/>
      <c r="F142" s="7"/>
      <c r="G142" s="7"/>
      <c r="H142" s="8"/>
      <c r="I142" s="9"/>
      <c r="J142" s="10" t="str">
        <f t="shared" si="8"/>
        <v/>
      </c>
      <c r="K142" s="11" t="str">
        <f>IF(A142="","",SUMIF(Receipts!$B$5:$B$510,A142,Receipts!$D$5:$D$510))</f>
        <v/>
      </c>
      <c r="L142" s="11" t="str">
        <f t="shared" si="9"/>
        <v/>
      </c>
      <c r="M142" s="12" t="str">
        <f>IF(COUNTIF(Receipts!$B$5:$B$510,A142)=0,"",IFERROR(LOOKUP(2,1/(Receipts!$B$5:$B$510=A142),Receipts!$C$5:$C$510),""))</f>
        <v/>
      </c>
      <c r="N142" s="6" t="str">
        <f t="shared" ca="1" si="10"/>
        <v/>
      </c>
      <c r="O142" s="11" t="str">
        <f t="shared" ca="1" si="11"/>
        <v/>
      </c>
      <c r="P142" s="5"/>
    </row>
    <row r="143" spans="1:16" x14ac:dyDescent="0.25">
      <c r="A143" s="5"/>
      <c r="B143" s="5"/>
      <c r="C143" s="6" t="str">
        <f>IFERROR(INDEX(Suppliers!$B$5:$B$104,MATCH(B143,Suppliers!$A$5:$A$104,0)),"")</f>
        <v/>
      </c>
      <c r="D143" s="5"/>
      <c r="E143" s="5"/>
      <c r="F143" s="7"/>
      <c r="G143" s="7"/>
      <c r="H143" s="8"/>
      <c r="I143" s="9"/>
      <c r="J143" s="10" t="str">
        <f t="shared" si="8"/>
        <v/>
      </c>
      <c r="K143" s="11" t="str">
        <f>IF(A143="","",SUMIF(Receipts!$B$5:$B$510,A143,Receipts!$D$5:$D$510))</f>
        <v/>
      </c>
      <c r="L143" s="11" t="str">
        <f t="shared" si="9"/>
        <v/>
      </c>
      <c r="M143" s="12" t="str">
        <f>IF(COUNTIF(Receipts!$B$5:$B$510,A143)=0,"",IFERROR(LOOKUP(2,1/(Receipts!$B$5:$B$510=A143),Receipts!$C$5:$C$510),""))</f>
        <v/>
      </c>
      <c r="N143" s="6" t="str">
        <f t="shared" ca="1" si="10"/>
        <v/>
      </c>
      <c r="O143" s="11" t="str">
        <f t="shared" ca="1" si="11"/>
        <v/>
      </c>
      <c r="P143" s="5"/>
    </row>
    <row r="144" spans="1:16" x14ac:dyDescent="0.25">
      <c r="A144" s="5"/>
      <c r="B144" s="5"/>
      <c r="C144" s="6" t="str">
        <f>IFERROR(INDEX(Suppliers!$B$5:$B$104,MATCH(B144,Suppliers!$A$5:$A$104,0)),"")</f>
        <v/>
      </c>
      <c r="D144" s="5"/>
      <c r="E144" s="5"/>
      <c r="F144" s="7"/>
      <c r="G144" s="7"/>
      <c r="H144" s="8"/>
      <c r="I144" s="9"/>
      <c r="J144" s="10" t="str">
        <f t="shared" si="8"/>
        <v/>
      </c>
      <c r="K144" s="11" t="str">
        <f>IF(A144="","",SUMIF(Receipts!$B$5:$B$510,A144,Receipts!$D$5:$D$510))</f>
        <v/>
      </c>
      <c r="L144" s="11" t="str">
        <f t="shared" si="9"/>
        <v/>
      </c>
      <c r="M144" s="12" t="str">
        <f>IF(COUNTIF(Receipts!$B$5:$B$510,A144)=0,"",IFERROR(LOOKUP(2,1/(Receipts!$B$5:$B$510=A144),Receipts!$C$5:$C$510),""))</f>
        <v/>
      </c>
      <c r="N144" s="6" t="str">
        <f t="shared" ca="1" si="10"/>
        <v/>
      </c>
      <c r="O144" s="11" t="str">
        <f t="shared" ca="1" si="11"/>
        <v/>
      </c>
      <c r="P144" s="5"/>
    </row>
    <row r="145" spans="1:16" x14ac:dyDescent="0.25">
      <c r="A145" s="5"/>
      <c r="B145" s="5"/>
      <c r="C145" s="6" t="str">
        <f>IFERROR(INDEX(Suppliers!$B$5:$B$104,MATCH(B145,Suppliers!$A$5:$A$104,0)),"")</f>
        <v/>
      </c>
      <c r="D145" s="5"/>
      <c r="E145" s="5"/>
      <c r="F145" s="7"/>
      <c r="G145" s="7"/>
      <c r="H145" s="8"/>
      <c r="I145" s="9"/>
      <c r="J145" s="10" t="str">
        <f t="shared" si="8"/>
        <v/>
      </c>
      <c r="K145" s="11" t="str">
        <f>IF(A145="","",SUMIF(Receipts!$B$5:$B$510,A145,Receipts!$D$5:$D$510))</f>
        <v/>
      </c>
      <c r="L145" s="11" t="str">
        <f t="shared" si="9"/>
        <v/>
      </c>
      <c r="M145" s="12" t="str">
        <f>IF(COUNTIF(Receipts!$B$5:$B$510,A145)=0,"",IFERROR(LOOKUP(2,1/(Receipts!$B$5:$B$510=A145),Receipts!$C$5:$C$510),""))</f>
        <v/>
      </c>
      <c r="N145" s="6" t="str">
        <f t="shared" ca="1" si="10"/>
        <v/>
      </c>
      <c r="O145" s="11" t="str">
        <f t="shared" ca="1" si="11"/>
        <v/>
      </c>
      <c r="P145" s="5"/>
    </row>
    <row r="146" spans="1:16" x14ac:dyDescent="0.25">
      <c r="A146" s="5"/>
      <c r="B146" s="5"/>
      <c r="C146" s="6" t="str">
        <f>IFERROR(INDEX(Suppliers!$B$5:$B$104,MATCH(B146,Suppliers!$A$5:$A$104,0)),"")</f>
        <v/>
      </c>
      <c r="D146" s="5"/>
      <c r="E146" s="5"/>
      <c r="F146" s="7"/>
      <c r="G146" s="7"/>
      <c r="H146" s="8"/>
      <c r="I146" s="9"/>
      <c r="J146" s="10" t="str">
        <f t="shared" si="8"/>
        <v/>
      </c>
      <c r="K146" s="11" t="str">
        <f>IF(A146="","",SUMIF(Receipts!$B$5:$B$510,A146,Receipts!$D$5:$D$510))</f>
        <v/>
      </c>
      <c r="L146" s="11" t="str">
        <f t="shared" si="9"/>
        <v/>
      </c>
      <c r="M146" s="12" t="str">
        <f>IF(COUNTIF(Receipts!$B$5:$B$510,A146)=0,"",IFERROR(LOOKUP(2,1/(Receipts!$B$5:$B$510=A146),Receipts!$C$5:$C$510),""))</f>
        <v/>
      </c>
      <c r="N146" s="6" t="str">
        <f t="shared" ca="1" si="10"/>
        <v/>
      </c>
      <c r="O146" s="11" t="str">
        <f t="shared" ca="1" si="11"/>
        <v/>
      </c>
      <c r="P146" s="5"/>
    </row>
    <row r="147" spans="1:16" x14ac:dyDescent="0.25">
      <c r="A147" s="5"/>
      <c r="B147" s="5"/>
      <c r="C147" s="6" t="str">
        <f>IFERROR(INDEX(Suppliers!$B$5:$B$104,MATCH(B147,Suppliers!$A$5:$A$104,0)),"")</f>
        <v/>
      </c>
      <c r="D147" s="5"/>
      <c r="E147" s="5"/>
      <c r="F147" s="7"/>
      <c r="G147" s="7"/>
      <c r="H147" s="8"/>
      <c r="I147" s="9"/>
      <c r="J147" s="10" t="str">
        <f t="shared" si="8"/>
        <v/>
      </c>
      <c r="K147" s="11" t="str">
        <f>IF(A147="","",SUMIF(Receipts!$B$5:$B$510,A147,Receipts!$D$5:$D$510))</f>
        <v/>
      </c>
      <c r="L147" s="11" t="str">
        <f t="shared" si="9"/>
        <v/>
      </c>
      <c r="M147" s="12" t="str">
        <f>IF(COUNTIF(Receipts!$B$5:$B$510,A147)=0,"",IFERROR(LOOKUP(2,1/(Receipts!$B$5:$B$510=A147),Receipts!$C$5:$C$510),""))</f>
        <v/>
      </c>
      <c r="N147" s="6" t="str">
        <f t="shared" ca="1" si="10"/>
        <v/>
      </c>
      <c r="O147" s="11" t="str">
        <f t="shared" ca="1" si="11"/>
        <v/>
      </c>
      <c r="P147" s="5"/>
    </row>
    <row r="148" spans="1:16" x14ac:dyDescent="0.25">
      <c r="A148" s="5"/>
      <c r="B148" s="5"/>
      <c r="C148" s="6" t="str">
        <f>IFERROR(INDEX(Suppliers!$B$5:$B$104,MATCH(B148,Suppliers!$A$5:$A$104,0)),"")</f>
        <v/>
      </c>
      <c r="D148" s="5"/>
      <c r="E148" s="5"/>
      <c r="F148" s="7"/>
      <c r="G148" s="7"/>
      <c r="H148" s="8"/>
      <c r="I148" s="9"/>
      <c r="J148" s="10" t="str">
        <f t="shared" si="8"/>
        <v/>
      </c>
      <c r="K148" s="11" t="str">
        <f>IF(A148="","",SUMIF(Receipts!$B$5:$B$510,A148,Receipts!$D$5:$D$510))</f>
        <v/>
      </c>
      <c r="L148" s="11" t="str">
        <f t="shared" si="9"/>
        <v/>
      </c>
      <c r="M148" s="12" t="str">
        <f>IF(COUNTIF(Receipts!$B$5:$B$510,A148)=0,"",IFERROR(LOOKUP(2,1/(Receipts!$B$5:$B$510=A148),Receipts!$C$5:$C$510),""))</f>
        <v/>
      </c>
      <c r="N148" s="6" t="str">
        <f t="shared" ca="1" si="10"/>
        <v/>
      </c>
      <c r="O148" s="11" t="str">
        <f t="shared" ca="1" si="11"/>
        <v/>
      </c>
      <c r="P148" s="5"/>
    </row>
    <row r="149" spans="1:16" x14ac:dyDescent="0.25">
      <c r="A149" s="5"/>
      <c r="B149" s="5"/>
      <c r="C149" s="6" t="str">
        <f>IFERROR(INDEX(Suppliers!$B$5:$B$104,MATCH(B149,Suppliers!$A$5:$A$104,0)),"")</f>
        <v/>
      </c>
      <c r="D149" s="5"/>
      <c r="E149" s="5"/>
      <c r="F149" s="7"/>
      <c r="G149" s="7"/>
      <c r="H149" s="8"/>
      <c r="I149" s="9"/>
      <c r="J149" s="10" t="str">
        <f t="shared" si="8"/>
        <v/>
      </c>
      <c r="K149" s="11" t="str">
        <f>IF(A149="","",SUMIF(Receipts!$B$5:$B$510,A149,Receipts!$D$5:$D$510))</f>
        <v/>
      </c>
      <c r="L149" s="11" t="str">
        <f t="shared" si="9"/>
        <v/>
      </c>
      <c r="M149" s="12" t="str">
        <f>IF(COUNTIF(Receipts!$B$5:$B$510,A149)=0,"",IFERROR(LOOKUP(2,1/(Receipts!$B$5:$B$510=A149),Receipts!$C$5:$C$510),""))</f>
        <v/>
      </c>
      <c r="N149" s="6" t="str">
        <f t="shared" ca="1" si="10"/>
        <v/>
      </c>
      <c r="O149" s="11" t="str">
        <f t="shared" ca="1" si="11"/>
        <v/>
      </c>
      <c r="P149" s="5"/>
    </row>
    <row r="150" spans="1:16" x14ac:dyDescent="0.25">
      <c r="A150" s="5"/>
      <c r="B150" s="5"/>
      <c r="C150" s="6" t="str">
        <f>IFERROR(INDEX(Suppliers!$B$5:$B$104,MATCH(B150,Suppliers!$A$5:$A$104,0)),"")</f>
        <v/>
      </c>
      <c r="D150" s="5"/>
      <c r="E150" s="5"/>
      <c r="F150" s="7"/>
      <c r="G150" s="7"/>
      <c r="H150" s="8"/>
      <c r="I150" s="9"/>
      <c r="J150" s="10" t="str">
        <f t="shared" si="8"/>
        <v/>
      </c>
      <c r="K150" s="11" t="str">
        <f>IF(A150="","",SUMIF(Receipts!$B$5:$B$510,A150,Receipts!$D$5:$D$510))</f>
        <v/>
      </c>
      <c r="L150" s="11" t="str">
        <f t="shared" si="9"/>
        <v/>
      </c>
      <c r="M150" s="12" t="str">
        <f>IF(COUNTIF(Receipts!$B$5:$B$510,A150)=0,"",IFERROR(LOOKUP(2,1/(Receipts!$B$5:$B$510=A150),Receipts!$C$5:$C$510),""))</f>
        <v/>
      </c>
      <c r="N150" s="6" t="str">
        <f t="shared" ca="1" si="10"/>
        <v/>
      </c>
      <c r="O150" s="11" t="str">
        <f t="shared" ca="1" si="11"/>
        <v/>
      </c>
      <c r="P150" s="5"/>
    </row>
    <row r="151" spans="1:16" x14ac:dyDescent="0.25">
      <c r="A151" s="5"/>
      <c r="B151" s="5"/>
      <c r="C151" s="6" t="str">
        <f>IFERROR(INDEX(Suppliers!$B$5:$B$104,MATCH(B151,Suppliers!$A$5:$A$104,0)),"")</f>
        <v/>
      </c>
      <c r="D151" s="5"/>
      <c r="E151" s="5"/>
      <c r="F151" s="7"/>
      <c r="G151" s="7"/>
      <c r="H151" s="8"/>
      <c r="I151" s="9"/>
      <c r="J151" s="10" t="str">
        <f t="shared" si="8"/>
        <v/>
      </c>
      <c r="K151" s="11" t="str">
        <f>IF(A151="","",SUMIF(Receipts!$B$5:$B$510,A151,Receipts!$D$5:$D$510))</f>
        <v/>
      </c>
      <c r="L151" s="11" t="str">
        <f t="shared" si="9"/>
        <v/>
      </c>
      <c r="M151" s="12" t="str">
        <f>IF(COUNTIF(Receipts!$B$5:$B$510,A151)=0,"",IFERROR(LOOKUP(2,1/(Receipts!$B$5:$B$510=A151),Receipts!$C$5:$C$510),""))</f>
        <v/>
      </c>
      <c r="N151" s="6" t="str">
        <f t="shared" ca="1" si="10"/>
        <v/>
      </c>
      <c r="O151" s="11" t="str">
        <f t="shared" ca="1" si="11"/>
        <v/>
      </c>
      <c r="P151" s="5"/>
    </row>
    <row r="152" spans="1:16" x14ac:dyDescent="0.25">
      <c r="A152" s="5"/>
      <c r="B152" s="5"/>
      <c r="C152" s="6" t="str">
        <f>IFERROR(INDEX(Suppliers!$B$5:$B$104,MATCH(B152,Suppliers!$A$5:$A$104,0)),"")</f>
        <v/>
      </c>
      <c r="D152" s="5"/>
      <c r="E152" s="5"/>
      <c r="F152" s="7"/>
      <c r="G152" s="7"/>
      <c r="H152" s="8"/>
      <c r="I152" s="9"/>
      <c r="J152" s="10" t="str">
        <f t="shared" si="8"/>
        <v/>
      </c>
      <c r="K152" s="11" t="str">
        <f>IF(A152="","",SUMIF(Receipts!$B$5:$B$510,A152,Receipts!$D$5:$D$510))</f>
        <v/>
      </c>
      <c r="L152" s="11" t="str">
        <f t="shared" si="9"/>
        <v/>
      </c>
      <c r="M152" s="12" t="str">
        <f>IF(COUNTIF(Receipts!$B$5:$B$510,A152)=0,"",IFERROR(LOOKUP(2,1/(Receipts!$B$5:$B$510=A152),Receipts!$C$5:$C$510),""))</f>
        <v/>
      </c>
      <c r="N152" s="6" t="str">
        <f t="shared" ca="1" si="10"/>
        <v/>
      </c>
      <c r="O152" s="11" t="str">
        <f t="shared" ca="1" si="11"/>
        <v/>
      </c>
      <c r="P152" s="5"/>
    </row>
    <row r="153" spans="1:16" x14ac:dyDescent="0.25">
      <c r="A153" s="5"/>
      <c r="B153" s="5"/>
      <c r="C153" s="6" t="str">
        <f>IFERROR(INDEX(Suppliers!$B$5:$B$104,MATCH(B153,Suppliers!$A$5:$A$104,0)),"")</f>
        <v/>
      </c>
      <c r="D153" s="5"/>
      <c r="E153" s="5"/>
      <c r="F153" s="7"/>
      <c r="G153" s="7"/>
      <c r="H153" s="8"/>
      <c r="I153" s="9"/>
      <c r="J153" s="10" t="str">
        <f t="shared" si="8"/>
        <v/>
      </c>
      <c r="K153" s="11" t="str">
        <f>IF(A153="","",SUMIF(Receipts!$B$5:$B$510,A153,Receipts!$D$5:$D$510))</f>
        <v/>
      </c>
      <c r="L153" s="11" t="str">
        <f t="shared" si="9"/>
        <v/>
      </c>
      <c r="M153" s="12" t="str">
        <f>IF(COUNTIF(Receipts!$B$5:$B$510,A153)=0,"",IFERROR(LOOKUP(2,1/(Receipts!$B$5:$B$510=A153),Receipts!$C$5:$C$510),""))</f>
        <v/>
      </c>
      <c r="N153" s="6" t="str">
        <f t="shared" ca="1" si="10"/>
        <v/>
      </c>
      <c r="O153" s="11" t="str">
        <f t="shared" ca="1" si="11"/>
        <v/>
      </c>
      <c r="P153" s="5"/>
    </row>
    <row r="154" spans="1:16" x14ac:dyDescent="0.25">
      <c r="A154" s="5"/>
      <c r="B154" s="5"/>
      <c r="C154" s="6" t="str">
        <f>IFERROR(INDEX(Suppliers!$B$5:$B$104,MATCH(B154,Suppliers!$A$5:$A$104,0)),"")</f>
        <v/>
      </c>
      <c r="D154" s="5"/>
      <c r="E154" s="5"/>
      <c r="F154" s="7"/>
      <c r="G154" s="7"/>
      <c r="H154" s="8"/>
      <c r="I154" s="9"/>
      <c r="J154" s="10" t="str">
        <f t="shared" si="8"/>
        <v/>
      </c>
      <c r="K154" s="11" t="str">
        <f>IF(A154="","",SUMIF(Receipts!$B$5:$B$510,A154,Receipts!$D$5:$D$510))</f>
        <v/>
      </c>
      <c r="L154" s="11" t="str">
        <f t="shared" si="9"/>
        <v/>
      </c>
      <c r="M154" s="12" t="str">
        <f>IF(COUNTIF(Receipts!$B$5:$B$510,A154)=0,"",IFERROR(LOOKUP(2,1/(Receipts!$B$5:$B$510=A154),Receipts!$C$5:$C$510),""))</f>
        <v/>
      </c>
      <c r="N154" s="6" t="str">
        <f t="shared" ca="1" si="10"/>
        <v/>
      </c>
      <c r="O154" s="11" t="str">
        <f t="shared" ca="1" si="11"/>
        <v/>
      </c>
      <c r="P154" s="5"/>
    </row>
    <row r="155" spans="1:16" x14ac:dyDescent="0.25">
      <c r="A155" s="5"/>
      <c r="B155" s="5"/>
      <c r="C155" s="6" t="str">
        <f>IFERROR(INDEX(Suppliers!$B$5:$B$104,MATCH(B155,Suppliers!$A$5:$A$104,0)),"")</f>
        <v/>
      </c>
      <c r="D155" s="5"/>
      <c r="E155" s="5"/>
      <c r="F155" s="7"/>
      <c r="G155" s="7"/>
      <c r="H155" s="8"/>
      <c r="I155" s="9"/>
      <c r="J155" s="10" t="str">
        <f t="shared" si="8"/>
        <v/>
      </c>
      <c r="K155" s="11" t="str">
        <f>IF(A155="","",SUMIF(Receipts!$B$5:$B$510,A155,Receipts!$D$5:$D$510))</f>
        <v/>
      </c>
      <c r="L155" s="11" t="str">
        <f t="shared" si="9"/>
        <v/>
      </c>
      <c r="M155" s="12" t="str">
        <f>IF(COUNTIF(Receipts!$B$5:$B$510,A155)=0,"",IFERROR(LOOKUP(2,1/(Receipts!$B$5:$B$510=A155),Receipts!$C$5:$C$510),""))</f>
        <v/>
      </c>
      <c r="N155" s="6" t="str">
        <f t="shared" ca="1" si="10"/>
        <v/>
      </c>
      <c r="O155" s="11" t="str">
        <f t="shared" ca="1" si="11"/>
        <v/>
      </c>
      <c r="P155" s="5"/>
    </row>
    <row r="156" spans="1:16" x14ac:dyDescent="0.25">
      <c r="A156" s="5"/>
      <c r="B156" s="5"/>
      <c r="C156" s="6" t="str">
        <f>IFERROR(INDEX(Suppliers!$B$5:$B$104,MATCH(B156,Suppliers!$A$5:$A$104,0)),"")</f>
        <v/>
      </c>
      <c r="D156" s="5"/>
      <c r="E156" s="5"/>
      <c r="F156" s="7"/>
      <c r="G156" s="7"/>
      <c r="H156" s="8"/>
      <c r="I156" s="9"/>
      <c r="J156" s="10" t="str">
        <f t="shared" si="8"/>
        <v/>
      </c>
      <c r="K156" s="11" t="str">
        <f>IF(A156="","",SUMIF(Receipts!$B$5:$B$510,A156,Receipts!$D$5:$D$510))</f>
        <v/>
      </c>
      <c r="L156" s="11" t="str">
        <f t="shared" si="9"/>
        <v/>
      </c>
      <c r="M156" s="12" t="str">
        <f>IF(COUNTIF(Receipts!$B$5:$B$510,A156)=0,"",IFERROR(LOOKUP(2,1/(Receipts!$B$5:$B$510=A156),Receipts!$C$5:$C$510),""))</f>
        <v/>
      </c>
      <c r="N156" s="6" t="str">
        <f t="shared" ca="1" si="10"/>
        <v/>
      </c>
      <c r="O156" s="11" t="str">
        <f t="shared" ca="1" si="11"/>
        <v/>
      </c>
      <c r="P156" s="5"/>
    </row>
    <row r="157" spans="1:16" x14ac:dyDescent="0.25">
      <c r="A157" s="5"/>
      <c r="B157" s="5"/>
      <c r="C157" s="6" t="str">
        <f>IFERROR(INDEX(Suppliers!$B$5:$B$104,MATCH(B157,Suppliers!$A$5:$A$104,0)),"")</f>
        <v/>
      </c>
      <c r="D157" s="5"/>
      <c r="E157" s="5"/>
      <c r="F157" s="7"/>
      <c r="G157" s="7"/>
      <c r="H157" s="8"/>
      <c r="I157" s="9"/>
      <c r="J157" s="10" t="str">
        <f t="shared" si="8"/>
        <v/>
      </c>
      <c r="K157" s="11" t="str">
        <f>IF(A157="","",SUMIF(Receipts!$B$5:$B$510,A157,Receipts!$D$5:$D$510))</f>
        <v/>
      </c>
      <c r="L157" s="11" t="str">
        <f t="shared" si="9"/>
        <v/>
      </c>
      <c r="M157" s="12" t="str">
        <f>IF(COUNTIF(Receipts!$B$5:$B$510,A157)=0,"",IFERROR(LOOKUP(2,1/(Receipts!$B$5:$B$510=A157),Receipts!$C$5:$C$510),""))</f>
        <v/>
      </c>
      <c r="N157" s="6" t="str">
        <f t="shared" ca="1" si="10"/>
        <v/>
      </c>
      <c r="O157" s="11" t="str">
        <f t="shared" ca="1" si="11"/>
        <v/>
      </c>
      <c r="P157" s="5"/>
    </row>
    <row r="158" spans="1:16" x14ac:dyDescent="0.25">
      <c r="A158" s="5"/>
      <c r="B158" s="5"/>
      <c r="C158" s="6" t="str">
        <f>IFERROR(INDEX(Suppliers!$B$5:$B$104,MATCH(B158,Suppliers!$A$5:$A$104,0)),"")</f>
        <v/>
      </c>
      <c r="D158" s="5"/>
      <c r="E158" s="5"/>
      <c r="F158" s="7"/>
      <c r="G158" s="7"/>
      <c r="H158" s="8"/>
      <c r="I158" s="9"/>
      <c r="J158" s="10" t="str">
        <f t="shared" si="8"/>
        <v/>
      </c>
      <c r="K158" s="11" t="str">
        <f>IF(A158="","",SUMIF(Receipts!$B$5:$B$510,A158,Receipts!$D$5:$D$510))</f>
        <v/>
      </c>
      <c r="L158" s="11" t="str">
        <f t="shared" si="9"/>
        <v/>
      </c>
      <c r="M158" s="12" t="str">
        <f>IF(COUNTIF(Receipts!$B$5:$B$510,A158)=0,"",IFERROR(LOOKUP(2,1/(Receipts!$B$5:$B$510=A158),Receipts!$C$5:$C$510),""))</f>
        <v/>
      </c>
      <c r="N158" s="6" t="str">
        <f t="shared" ca="1" si="10"/>
        <v/>
      </c>
      <c r="O158" s="11" t="str">
        <f t="shared" ca="1" si="11"/>
        <v/>
      </c>
      <c r="P158" s="5"/>
    </row>
    <row r="159" spans="1:16" x14ac:dyDescent="0.25">
      <c r="A159" s="5"/>
      <c r="B159" s="5"/>
      <c r="C159" s="6" t="str">
        <f>IFERROR(INDEX(Suppliers!$B$5:$B$104,MATCH(B159,Suppliers!$A$5:$A$104,0)),"")</f>
        <v/>
      </c>
      <c r="D159" s="5"/>
      <c r="E159" s="5"/>
      <c r="F159" s="7"/>
      <c r="G159" s="7"/>
      <c r="H159" s="8"/>
      <c r="I159" s="9"/>
      <c r="J159" s="10" t="str">
        <f t="shared" si="8"/>
        <v/>
      </c>
      <c r="K159" s="11" t="str">
        <f>IF(A159="","",SUMIF(Receipts!$B$5:$B$510,A159,Receipts!$D$5:$D$510))</f>
        <v/>
      </c>
      <c r="L159" s="11" t="str">
        <f t="shared" si="9"/>
        <v/>
      </c>
      <c r="M159" s="12" t="str">
        <f>IF(COUNTIF(Receipts!$B$5:$B$510,A159)=0,"",IFERROR(LOOKUP(2,1/(Receipts!$B$5:$B$510=A159),Receipts!$C$5:$C$510),""))</f>
        <v/>
      </c>
      <c r="N159" s="6" t="str">
        <f t="shared" ca="1" si="10"/>
        <v/>
      </c>
      <c r="O159" s="11" t="str">
        <f t="shared" ca="1" si="11"/>
        <v/>
      </c>
      <c r="P159" s="5"/>
    </row>
    <row r="160" spans="1:16" x14ac:dyDescent="0.25">
      <c r="A160" s="5"/>
      <c r="B160" s="5"/>
      <c r="C160" s="6" t="str">
        <f>IFERROR(INDEX(Suppliers!$B$5:$B$104,MATCH(B160,Suppliers!$A$5:$A$104,0)),"")</f>
        <v/>
      </c>
      <c r="D160" s="5"/>
      <c r="E160" s="5"/>
      <c r="F160" s="7"/>
      <c r="G160" s="7"/>
      <c r="H160" s="8"/>
      <c r="I160" s="9"/>
      <c r="J160" s="10" t="str">
        <f t="shared" si="8"/>
        <v/>
      </c>
      <c r="K160" s="11" t="str">
        <f>IF(A160="","",SUMIF(Receipts!$B$5:$B$510,A160,Receipts!$D$5:$D$510))</f>
        <v/>
      </c>
      <c r="L160" s="11" t="str">
        <f t="shared" si="9"/>
        <v/>
      </c>
      <c r="M160" s="12" t="str">
        <f>IF(COUNTIF(Receipts!$B$5:$B$510,A160)=0,"",IFERROR(LOOKUP(2,1/(Receipts!$B$5:$B$510=A160),Receipts!$C$5:$C$510),""))</f>
        <v/>
      </c>
      <c r="N160" s="6" t="str">
        <f t="shared" ca="1" si="10"/>
        <v/>
      </c>
      <c r="O160" s="11" t="str">
        <f t="shared" ca="1" si="11"/>
        <v/>
      </c>
      <c r="P160" s="5"/>
    </row>
    <row r="161" spans="1:16" x14ac:dyDescent="0.25">
      <c r="A161" s="5"/>
      <c r="B161" s="5"/>
      <c r="C161" s="6" t="str">
        <f>IFERROR(INDEX(Suppliers!$B$5:$B$104,MATCH(B161,Suppliers!$A$5:$A$104,0)),"")</f>
        <v/>
      </c>
      <c r="D161" s="5"/>
      <c r="E161" s="5"/>
      <c r="F161" s="7"/>
      <c r="G161" s="7"/>
      <c r="H161" s="8"/>
      <c r="I161" s="9"/>
      <c r="J161" s="10" t="str">
        <f t="shared" si="8"/>
        <v/>
      </c>
      <c r="K161" s="11" t="str">
        <f>IF(A161="","",SUMIF(Receipts!$B$5:$B$510,A161,Receipts!$D$5:$D$510))</f>
        <v/>
      </c>
      <c r="L161" s="11" t="str">
        <f t="shared" si="9"/>
        <v/>
      </c>
      <c r="M161" s="12" t="str">
        <f>IF(COUNTIF(Receipts!$B$5:$B$510,A161)=0,"",IFERROR(LOOKUP(2,1/(Receipts!$B$5:$B$510=A161),Receipts!$C$5:$C$510),""))</f>
        <v/>
      </c>
      <c r="N161" s="6" t="str">
        <f t="shared" ca="1" si="10"/>
        <v/>
      </c>
      <c r="O161" s="11" t="str">
        <f t="shared" ca="1" si="11"/>
        <v/>
      </c>
      <c r="P161" s="5"/>
    </row>
    <row r="162" spans="1:16" x14ac:dyDescent="0.25">
      <c r="A162" s="5"/>
      <c r="B162" s="5"/>
      <c r="C162" s="6" t="str">
        <f>IFERROR(INDEX(Suppliers!$B$5:$B$104,MATCH(B162,Suppliers!$A$5:$A$104,0)),"")</f>
        <v/>
      </c>
      <c r="D162" s="5"/>
      <c r="E162" s="5"/>
      <c r="F162" s="7"/>
      <c r="G162" s="7"/>
      <c r="H162" s="8"/>
      <c r="I162" s="9"/>
      <c r="J162" s="10" t="str">
        <f t="shared" si="8"/>
        <v/>
      </c>
      <c r="K162" s="11" t="str">
        <f>IF(A162="","",SUMIF(Receipts!$B$5:$B$510,A162,Receipts!$D$5:$D$510))</f>
        <v/>
      </c>
      <c r="L162" s="11" t="str">
        <f t="shared" si="9"/>
        <v/>
      </c>
      <c r="M162" s="12" t="str">
        <f>IF(COUNTIF(Receipts!$B$5:$B$510,A162)=0,"",IFERROR(LOOKUP(2,1/(Receipts!$B$5:$B$510=A162),Receipts!$C$5:$C$510),""))</f>
        <v/>
      </c>
      <c r="N162" s="6" t="str">
        <f t="shared" ca="1" si="10"/>
        <v/>
      </c>
      <c r="O162" s="11" t="str">
        <f t="shared" ca="1" si="11"/>
        <v/>
      </c>
      <c r="P162" s="5"/>
    </row>
    <row r="163" spans="1:16" x14ac:dyDescent="0.25">
      <c r="A163" s="5"/>
      <c r="B163" s="5"/>
      <c r="C163" s="6" t="str">
        <f>IFERROR(INDEX(Suppliers!$B$5:$B$104,MATCH(B163,Suppliers!$A$5:$A$104,0)),"")</f>
        <v/>
      </c>
      <c r="D163" s="5"/>
      <c r="E163" s="5"/>
      <c r="F163" s="7"/>
      <c r="G163" s="7"/>
      <c r="H163" s="8"/>
      <c r="I163" s="9"/>
      <c r="J163" s="10" t="str">
        <f t="shared" si="8"/>
        <v/>
      </c>
      <c r="K163" s="11" t="str">
        <f>IF(A163="","",SUMIF(Receipts!$B$5:$B$510,A163,Receipts!$D$5:$D$510))</f>
        <v/>
      </c>
      <c r="L163" s="11" t="str">
        <f t="shared" si="9"/>
        <v/>
      </c>
      <c r="M163" s="12" t="str">
        <f>IF(COUNTIF(Receipts!$B$5:$B$510,A163)=0,"",IFERROR(LOOKUP(2,1/(Receipts!$B$5:$B$510=A163),Receipts!$C$5:$C$510),""))</f>
        <v/>
      </c>
      <c r="N163" s="6" t="str">
        <f t="shared" ca="1" si="10"/>
        <v/>
      </c>
      <c r="O163" s="11" t="str">
        <f t="shared" ca="1" si="11"/>
        <v/>
      </c>
      <c r="P163" s="5"/>
    </row>
    <row r="164" spans="1:16" x14ac:dyDescent="0.25">
      <c r="A164" s="5"/>
      <c r="B164" s="5"/>
      <c r="C164" s="6" t="str">
        <f>IFERROR(INDEX(Suppliers!$B$5:$B$104,MATCH(B164,Suppliers!$A$5:$A$104,0)),"")</f>
        <v/>
      </c>
      <c r="D164" s="5"/>
      <c r="E164" s="5"/>
      <c r="F164" s="7"/>
      <c r="G164" s="7"/>
      <c r="H164" s="8"/>
      <c r="I164" s="9"/>
      <c r="J164" s="10" t="str">
        <f t="shared" si="8"/>
        <v/>
      </c>
      <c r="K164" s="11" t="str">
        <f>IF(A164="","",SUMIF(Receipts!$B$5:$B$510,A164,Receipts!$D$5:$D$510))</f>
        <v/>
      </c>
      <c r="L164" s="11" t="str">
        <f t="shared" si="9"/>
        <v/>
      </c>
      <c r="M164" s="12" t="str">
        <f>IF(COUNTIF(Receipts!$B$5:$B$510,A164)=0,"",IFERROR(LOOKUP(2,1/(Receipts!$B$5:$B$510=A164),Receipts!$C$5:$C$510),""))</f>
        <v/>
      </c>
      <c r="N164" s="6" t="str">
        <f t="shared" ca="1" si="10"/>
        <v/>
      </c>
      <c r="O164" s="11" t="str">
        <f t="shared" ca="1" si="11"/>
        <v/>
      </c>
      <c r="P164" s="5"/>
    </row>
    <row r="165" spans="1:16" x14ac:dyDescent="0.25">
      <c r="A165" s="5"/>
      <c r="B165" s="5"/>
      <c r="C165" s="6" t="str">
        <f>IFERROR(INDEX(Suppliers!$B$5:$B$104,MATCH(B165,Suppliers!$A$5:$A$104,0)),"")</f>
        <v/>
      </c>
      <c r="D165" s="5"/>
      <c r="E165" s="5"/>
      <c r="F165" s="7"/>
      <c r="G165" s="7"/>
      <c r="H165" s="8"/>
      <c r="I165" s="9"/>
      <c r="J165" s="10" t="str">
        <f t="shared" si="8"/>
        <v/>
      </c>
      <c r="K165" s="11" t="str">
        <f>IF(A165="","",SUMIF(Receipts!$B$5:$B$510,A165,Receipts!$D$5:$D$510))</f>
        <v/>
      </c>
      <c r="L165" s="11" t="str">
        <f t="shared" si="9"/>
        <v/>
      </c>
      <c r="M165" s="12" t="str">
        <f>IF(COUNTIF(Receipts!$B$5:$B$510,A165)=0,"",IFERROR(LOOKUP(2,1/(Receipts!$B$5:$B$510=A165),Receipts!$C$5:$C$510),""))</f>
        <v/>
      </c>
      <c r="N165" s="6" t="str">
        <f t="shared" ca="1" si="10"/>
        <v/>
      </c>
      <c r="O165" s="11" t="str">
        <f t="shared" ca="1" si="11"/>
        <v/>
      </c>
      <c r="P165" s="5"/>
    </row>
    <row r="166" spans="1:16" x14ac:dyDescent="0.25">
      <c r="A166" s="5"/>
      <c r="B166" s="5"/>
      <c r="C166" s="6" t="str">
        <f>IFERROR(INDEX(Suppliers!$B$5:$B$104,MATCH(B166,Suppliers!$A$5:$A$104,0)),"")</f>
        <v/>
      </c>
      <c r="D166" s="5"/>
      <c r="E166" s="5"/>
      <c r="F166" s="7"/>
      <c r="G166" s="7"/>
      <c r="H166" s="8"/>
      <c r="I166" s="9"/>
      <c r="J166" s="10" t="str">
        <f t="shared" si="8"/>
        <v/>
      </c>
      <c r="K166" s="11" t="str">
        <f>IF(A166="","",SUMIF(Receipts!$B$5:$B$510,A166,Receipts!$D$5:$D$510))</f>
        <v/>
      </c>
      <c r="L166" s="11" t="str">
        <f t="shared" si="9"/>
        <v/>
      </c>
      <c r="M166" s="12" t="str">
        <f>IF(COUNTIF(Receipts!$B$5:$B$510,A166)=0,"",IFERROR(LOOKUP(2,1/(Receipts!$B$5:$B$510=A166),Receipts!$C$5:$C$510),""))</f>
        <v/>
      </c>
      <c r="N166" s="6" t="str">
        <f t="shared" ca="1" si="10"/>
        <v/>
      </c>
      <c r="O166" s="11" t="str">
        <f t="shared" ca="1" si="11"/>
        <v/>
      </c>
      <c r="P166" s="5"/>
    </row>
    <row r="167" spans="1:16" x14ac:dyDescent="0.25">
      <c r="A167" s="5"/>
      <c r="B167" s="5"/>
      <c r="C167" s="6" t="str">
        <f>IFERROR(INDEX(Suppliers!$B$5:$B$104,MATCH(B167,Suppliers!$A$5:$A$104,0)),"")</f>
        <v/>
      </c>
      <c r="D167" s="5"/>
      <c r="E167" s="5"/>
      <c r="F167" s="7"/>
      <c r="G167" s="7"/>
      <c r="H167" s="8"/>
      <c r="I167" s="9"/>
      <c r="J167" s="10" t="str">
        <f t="shared" si="8"/>
        <v/>
      </c>
      <c r="K167" s="11" t="str">
        <f>IF(A167="","",SUMIF(Receipts!$B$5:$B$510,A167,Receipts!$D$5:$D$510))</f>
        <v/>
      </c>
      <c r="L167" s="11" t="str">
        <f t="shared" si="9"/>
        <v/>
      </c>
      <c r="M167" s="12" t="str">
        <f>IF(COUNTIF(Receipts!$B$5:$B$510,A167)=0,"",IFERROR(LOOKUP(2,1/(Receipts!$B$5:$B$510=A167),Receipts!$C$5:$C$510),""))</f>
        <v/>
      </c>
      <c r="N167" s="6" t="str">
        <f t="shared" ca="1" si="10"/>
        <v/>
      </c>
      <c r="O167" s="11" t="str">
        <f t="shared" ca="1" si="11"/>
        <v/>
      </c>
      <c r="P167" s="5"/>
    </row>
    <row r="168" spans="1:16" x14ac:dyDescent="0.25">
      <c r="A168" s="5"/>
      <c r="B168" s="5"/>
      <c r="C168" s="6" t="str">
        <f>IFERROR(INDEX(Suppliers!$B$5:$B$104,MATCH(B168,Suppliers!$A$5:$A$104,0)),"")</f>
        <v/>
      </c>
      <c r="D168" s="5"/>
      <c r="E168" s="5"/>
      <c r="F168" s="7"/>
      <c r="G168" s="7"/>
      <c r="H168" s="8"/>
      <c r="I168" s="9"/>
      <c r="J168" s="10" t="str">
        <f t="shared" si="8"/>
        <v/>
      </c>
      <c r="K168" s="11" t="str">
        <f>IF(A168="","",SUMIF(Receipts!$B$5:$B$510,A168,Receipts!$D$5:$D$510))</f>
        <v/>
      </c>
      <c r="L168" s="11" t="str">
        <f t="shared" si="9"/>
        <v/>
      </c>
      <c r="M168" s="12" t="str">
        <f>IF(COUNTIF(Receipts!$B$5:$B$510,A168)=0,"",IFERROR(LOOKUP(2,1/(Receipts!$B$5:$B$510=A168),Receipts!$C$5:$C$510),""))</f>
        <v/>
      </c>
      <c r="N168" s="6" t="str">
        <f t="shared" ca="1" si="10"/>
        <v/>
      </c>
      <c r="O168" s="11" t="str">
        <f t="shared" ca="1" si="11"/>
        <v/>
      </c>
      <c r="P168" s="5"/>
    </row>
    <row r="169" spans="1:16" x14ac:dyDescent="0.25">
      <c r="A169" s="5"/>
      <c r="B169" s="5"/>
      <c r="C169" s="6" t="str">
        <f>IFERROR(INDEX(Suppliers!$B$5:$B$104,MATCH(B169,Suppliers!$A$5:$A$104,0)),"")</f>
        <v/>
      </c>
      <c r="D169" s="5"/>
      <c r="E169" s="5"/>
      <c r="F169" s="7"/>
      <c r="G169" s="7"/>
      <c r="H169" s="8"/>
      <c r="I169" s="9"/>
      <c r="J169" s="10" t="str">
        <f t="shared" si="8"/>
        <v/>
      </c>
      <c r="K169" s="11" t="str">
        <f>IF(A169="","",SUMIF(Receipts!$B$5:$B$510,A169,Receipts!$D$5:$D$510))</f>
        <v/>
      </c>
      <c r="L169" s="11" t="str">
        <f t="shared" si="9"/>
        <v/>
      </c>
      <c r="M169" s="12" t="str">
        <f>IF(COUNTIF(Receipts!$B$5:$B$510,A169)=0,"",IFERROR(LOOKUP(2,1/(Receipts!$B$5:$B$510=A169),Receipts!$C$5:$C$510),""))</f>
        <v/>
      </c>
      <c r="N169" s="6" t="str">
        <f t="shared" ca="1" si="10"/>
        <v/>
      </c>
      <c r="O169" s="11" t="str">
        <f t="shared" ca="1" si="11"/>
        <v/>
      </c>
      <c r="P169" s="5"/>
    </row>
    <row r="170" spans="1:16" x14ac:dyDescent="0.25">
      <c r="A170" s="5"/>
      <c r="B170" s="5"/>
      <c r="C170" s="6" t="str">
        <f>IFERROR(INDEX(Suppliers!$B$5:$B$104,MATCH(B170,Suppliers!$A$5:$A$104,0)),"")</f>
        <v/>
      </c>
      <c r="D170" s="5"/>
      <c r="E170" s="5"/>
      <c r="F170" s="7"/>
      <c r="G170" s="7"/>
      <c r="H170" s="8"/>
      <c r="I170" s="9"/>
      <c r="J170" s="10" t="str">
        <f t="shared" si="8"/>
        <v/>
      </c>
      <c r="K170" s="11" t="str">
        <f>IF(A170="","",SUMIF(Receipts!$B$5:$B$510,A170,Receipts!$D$5:$D$510))</f>
        <v/>
      </c>
      <c r="L170" s="11" t="str">
        <f t="shared" si="9"/>
        <v/>
      </c>
      <c r="M170" s="12" t="str">
        <f>IF(COUNTIF(Receipts!$B$5:$B$510,A170)=0,"",IFERROR(LOOKUP(2,1/(Receipts!$B$5:$B$510=A170),Receipts!$C$5:$C$510),""))</f>
        <v/>
      </c>
      <c r="N170" s="6" t="str">
        <f t="shared" ca="1" si="10"/>
        <v/>
      </c>
      <c r="O170" s="11" t="str">
        <f t="shared" ca="1" si="11"/>
        <v/>
      </c>
      <c r="P170" s="5"/>
    </row>
    <row r="171" spans="1:16" x14ac:dyDescent="0.25">
      <c r="A171" s="5"/>
      <c r="B171" s="5"/>
      <c r="C171" s="6" t="str">
        <f>IFERROR(INDEX(Suppliers!$B$5:$B$104,MATCH(B171,Suppliers!$A$5:$A$104,0)),"")</f>
        <v/>
      </c>
      <c r="D171" s="5"/>
      <c r="E171" s="5"/>
      <c r="F171" s="7"/>
      <c r="G171" s="7"/>
      <c r="H171" s="8"/>
      <c r="I171" s="9"/>
      <c r="J171" s="10" t="str">
        <f t="shared" si="8"/>
        <v/>
      </c>
      <c r="K171" s="11" t="str">
        <f>IF(A171="","",SUMIF(Receipts!$B$5:$B$510,A171,Receipts!$D$5:$D$510))</f>
        <v/>
      </c>
      <c r="L171" s="11" t="str">
        <f t="shared" si="9"/>
        <v/>
      </c>
      <c r="M171" s="12" t="str">
        <f>IF(COUNTIF(Receipts!$B$5:$B$510,A171)=0,"",IFERROR(LOOKUP(2,1/(Receipts!$B$5:$B$510=A171),Receipts!$C$5:$C$510),""))</f>
        <v/>
      </c>
      <c r="N171" s="6" t="str">
        <f t="shared" ca="1" si="10"/>
        <v/>
      </c>
      <c r="O171" s="11" t="str">
        <f t="shared" ca="1" si="11"/>
        <v/>
      </c>
      <c r="P171" s="5"/>
    </row>
    <row r="172" spans="1:16" x14ac:dyDescent="0.25">
      <c r="A172" s="5"/>
      <c r="B172" s="5"/>
      <c r="C172" s="6" t="str">
        <f>IFERROR(INDEX(Suppliers!$B$5:$B$104,MATCH(B172,Suppliers!$A$5:$A$104,0)),"")</f>
        <v/>
      </c>
      <c r="D172" s="5"/>
      <c r="E172" s="5"/>
      <c r="F172" s="7"/>
      <c r="G172" s="7"/>
      <c r="H172" s="8"/>
      <c r="I172" s="9"/>
      <c r="J172" s="10" t="str">
        <f t="shared" si="8"/>
        <v/>
      </c>
      <c r="K172" s="11" t="str">
        <f>IF(A172="","",SUMIF(Receipts!$B$5:$B$510,A172,Receipts!$D$5:$D$510))</f>
        <v/>
      </c>
      <c r="L172" s="11" t="str">
        <f t="shared" si="9"/>
        <v/>
      </c>
      <c r="M172" s="12" t="str">
        <f>IF(COUNTIF(Receipts!$B$5:$B$510,A172)=0,"",IFERROR(LOOKUP(2,1/(Receipts!$B$5:$B$510=A172),Receipts!$C$5:$C$510),""))</f>
        <v/>
      </c>
      <c r="N172" s="6" t="str">
        <f t="shared" ca="1" si="10"/>
        <v/>
      </c>
      <c r="O172" s="11" t="str">
        <f t="shared" ca="1" si="11"/>
        <v/>
      </c>
      <c r="P172" s="5"/>
    </row>
    <row r="173" spans="1:16" x14ac:dyDescent="0.25">
      <c r="A173" s="5"/>
      <c r="B173" s="5"/>
      <c r="C173" s="6" t="str">
        <f>IFERROR(INDEX(Suppliers!$B$5:$B$104,MATCH(B173,Suppliers!$A$5:$A$104,0)),"")</f>
        <v/>
      </c>
      <c r="D173" s="5"/>
      <c r="E173" s="5"/>
      <c r="F173" s="7"/>
      <c r="G173" s="7"/>
      <c r="H173" s="8"/>
      <c r="I173" s="9"/>
      <c r="J173" s="10" t="str">
        <f t="shared" si="8"/>
        <v/>
      </c>
      <c r="K173" s="11" t="str">
        <f>IF(A173="","",SUMIF(Receipts!$B$5:$B$510,A173,Receipts!$D$5:$D$510))</f>
        <v/>
      </c>
      <c r="L173" s="11" t="str">
        <f t="shared" si="9"/>
        <v/>
      </c>
      <c r="M173" s="12" t="str">
        <f>IF(COUNTIF(Receipts!$B$5:$B$510,A173)=0,"",IFERROR(LOOKUP(2,1/(Receipts!$B$5:$B$510=A173),Receipts!$C$5:$C$510),""))</f>
        <v/>
      </c>
      <c r="N173" s="6" t="str">
        <f t="shared" ca="1" si="10"/>
        <v/>
      </c>
      <c r="O173" s="11" t="str">
        <f t="shared" ca="1" si="11"/>
        <v/>
      </c>
      <c r="P173" s="5"/>
    </row>
    <row r="174" spans="1:16" x14ac:dyDescent="0.25">
      <c r="A174" s="5"/>
      <c r="B174" s="5"/>
      <c r="C174" s="6" t="str">
        <f>IFERROR(INDEX(Suppliers!$B$5:$B$104,MATCH(B174,Suppliers!$A$5:$A$104,0)),"")</f>
        <v/>
      </c>
      <c r="D174" s="5"/>
      <c r="E174" s="5"/>
      <c r="F174" s="7"/>
      <c r="G174" s="7"/>
      <c r="H174" s="8"/>
      <c r="I174" s="9"/>
      <c r="J174" s="10" t="str">
        <f t="shared" si="8"/>
        <v/>
      </c>
      <c r="K174" s="11" t="str">
        <f>IF(A174="","",SUMIF(Receipts!$B$5:$B$510,A174,Receipts!$D$5:$D$510))</f>
        <v/>
      </c>
      <c r="L174" s="11" t="str">
        <f t="shared" si="9"/>
        <v/>
      </c>
      <c r="M174" s="12" t="str">
        <f>IF(COUNTIF(Receipts!$B$5:$B$510,A174)=0,"",IFERROR(LOOKUP(2,1/(Receipts!$B$5:$B$510=A174),Receipts!$C$5:$C$510),""))</f>
        <v/>
      </c>
      <c r="N174" s="6" t="str">
        <f t="shared" ca="1" si="10"/>
        <v/>
      </c>
      <c r="O174" s="11" t="str">
        <f t="shared" ca="1" si="11"/>
        <v/>
      </c>
      <c r="P174" s="5"/>
    </row>
    <row r="175" spans="1:16" x14ac:dyDescent="0.25">
      <c r="A175" s="5"/>
      <c r="B175" s="5"/>
      <c r="C175" s="6" t="str">
        <f>IFERROR(INDEX(Suppliers!$B$5:$B$104,MATCH(B175,Suppliers!$A$5:$A$104,0)),"")</f>
        <v/>
      </c>
      <c r="D175" s="5"/>
      <c r="E175" s="5"/>
      <c r="F175" s="7"/>
      <c r="G175" s="7"/>
      <c r="H175" s="8"/>
      <c r="I175" s="9"/>
      <c r="J175" s="10" t="str">
        <f t="shared" si="8"/>
        <v/>
      </c>
      <c r="K175" s="11" t="str">
        <f>IF(A175="","",SUMIF(Receipts!$B$5:$B$510,A175,Receipts!$D$5:$D$510))</f>
        <v/>
      </c>
      <c r="L175" s="11" t="str">
        <f t="shared" si="9"/>
        <v/>
      </c>
      <c r="M175" s="12" t="str">
        <f>IF(COUNTIF(Receipts!$B$5:$B$510,A175)=0,"",IFERROR(LOOKUP(2,1/(Receipts!$B$5:$B$510=A175),Receipts!$C$5:$C$510),""))</f>
        <v/>
      </c>
      <c r="N175" s="6" t="str">
        <f t="shared" ca="1" si="10"/>
        <v/>
      </c>
      <c r="O175" s="11" t="str">
        <f t="shared" ca="1" si="11"/>
        <v/>
      </c>
      <c r="P175" s="5"/>
    </row>
    <row r="176" spans="1:16" x14ac:dyDescent="0.25">
      <c r="A176" s="5"/>
      <c r="B176" s="5"/>
      <c r="C176" s="6" t="str">
        <f>IFERROR(INDEX(Suppliers!$B$5:$B$104,MATCH(B176,Suppliers!$A$5:$A$104,0)),"")</f>
        <v/>
      </c>
      <c r="D176" s="5"/>
      <c r="E176" s="5"/>
      <c r="F176" s="7"/>
      <c r="G176" s="7"/>
      <c r="H176" s="8"/>
      <c r="I176" s="9"/>
      <c r="J176" s="10" t="str">
        <f t="shared" si="8"/>
        <v/>
      </c>
      <c r="K176" s="11" t="str">
        <f>IF(A176="","",SUMIF(Receipts!$B$5:$B$510,A176,Receipts!$D$5:$D$510))</f>
        <v/>
      </c>
      <c r="L176" s="11" t="str">
        <f t="shared" si="9"/>
        <v/>
      </c>
      <c r="M176" s="12" t="str">
        <f>IF(COUNTIF(Receipts!$B$5:$B$510,A176)=0,"",IFERROR(LOOKUP(2,1/(Receipts!$B$5:$B$510=A176),Receipts!$C$5:$C$510),""))</f>
        <v/>
      </c>
      <c r="N176" s="6" t="str">
        <f t="shared" ca="1" si="10"/>
        <v/>
      </c>
      <c r="O176" s="11" t="str">
        <f t="shared" ca="1" si="11"/>
        <v/>
      </c>
      <c r="P176" s="5"/>
    </row>
    <row r="177" spans="1:16" x14ac:dyDescent="0.25">
      <c r="A177" s="5"/>
      <c r="B177" s="5"/>
      <c r="C177" s="6" t="str">
        <f>IFERROR(INDEX(Suppliers!$B$5:$B$104,MATCH(B177,Suppliers!$A$5:$A$104,0)),"")</f>
        <v/>
      </c>
      <c r="D177" s="5"/>
      <c r="E177" s="5"/>
      <c r="F177" s="7"/>
      <c r="G177" s="7"/>
      <c r="H177" s="8"/>
      <c r="I177" s="9"/>
      <c r="J177" s="10" t="str">
        <f t="shared" si="8"/>
        <v/>
      </c>
      <c r="K177" s="11" t="str">
        <f>IF(A177="","",SUMIF(Receipts!$B$5:$B$510,A177,Receipts!$D$5:$D$510))</f>
        <v/>
      </c>
      <c r="L177" s="11" t="str">
        <f t="shared" si="9"/>
        <v/>
      </c>
      <c r="M177" s="12" t="str">
        <f>IF(COUNTIF(Receipts!$B$5:$B$510,A177)=0,"",IFERROR(LOOKUP(2,1/(Receipts!$B$5:$B$510=A177),Receipts!$C$5:$C$510),""))</f>
        <v/>
      </c>
      <c r="N177" s="6" t="str">
        <f t="shared" ca="1" si="10"/>
        <v/>
      </c>
      <c r="O177" s="11" t="str">
        <f t="shared" ca="1" si="11"/>
        <v/>
      </c>
      <c r="P177" s="5"/>
    </row>
    <row r="178" spans="1:16" x14ac:dyDescent="0.25">
      <c r="A178" s="5"/>
      <c r="B178" s="5"/>
      <c r="C178" s="6" t="str">
        <f>IFERROR(INDEX(Suppliers!$B$5:$B$104,MATCH(B178,Suppliers!$A$5:$A$104,0)),"")</f>
        <v/>
      </c>
      <c r="D178" s="5"/>
      <c r="E178" s="5"/>
      <c r="F178" s="7"/>
      <c r="G178" s="7"/>
      <c r="H178" s="8"/>
      <c r="I178" s="9"/>
      <c r="J178" s="10" t="str">
        <f t="shared" si="8"/>
        <v/>
      </c>
      <c r="K178" s="11" t="str">
        <f>IF(A178="","",SUMIF(Receipts!$B$5:$B$510,A178,Receipts!$D$5:$D$510))</f>
        <v/>
      </c>
      <c r="L178" s="11" t="str">
        <f t="shared" si="9"/>
        <v/>
      </c>
      <c r="M178" s="12" t="str">
        <f>IF(COUNTIF(Receipts!$B$5:$B$510,A178)=0,"",IFERROR(LOOKUP(2,1/(Receipts!$B$5:$B$510=A178),Receipts!$C$5:$C$510),""))</f>
        <v/>
      </c>
      <c r="N178" s="6" t="str">
        <f t="shared" ca="1" si="10"/>
        <v/>
      </c>
      <c r="O178" s="11" t="str">
        <f t="shared" ca="1" si="11"/>
        <v/>
      </c>
      <c r="P178" s="5"/>
    </row>
    <row r="179" spans="1:16" x14ac:dyDescent="0.25">
      <c r="A179" s="5"/>
      <c r="B179" s="5"/>
      <c r="C179" s="6" t="str">
        <f>IFERROR(INDEX(Suppliers!$B$5:$B$104,MATCH(B179,Suppliers!$A$5:$A$104,0)),"")</f>
        <v/>
      </c>
      <c r="D179" s="5"/>
      <c r="E179" s="5"/>
      <c r="F179" s="7"/>
      <c r="G179" s="7"/>
      <c r="H179" s="8"/>
      <c r="I179" s="9"/>
      <c r="J179" s="10" t="str">
        <f t="shared" si="8"/>
        <v/>
      </c>
      <c r="K179" s="11" t="str">
        <f>IF(A179="","",SUMIF(Receipts!$B$5:$B$510,A179,Receipts!$D$5:$D$510))</f>
        <v/>
      </c>
      <c r="L179" s="11" t="str">
        <f t="shared" si="9"/>
        <v/>
      </c>
      <c r="M179" s="12" t="str">
        <f>IF(COUNTIF(Receipts!$B$5:$B$510,A179)=0,"",IFERROR(LOOKUP(2,1/(Receipts!$B$5:$B$510=A179),Receipts!$C$5:$C$510),""))</f>
        <v/>
      </c>
      <c r="N179" s="6" t="str">
        <f t="shared" ca="1" si="10"/>
        <v/>
      </c>
      <c r="O179" s="11" t="str">
        <f t="shared" ca="1" si="11"/>
        <v/>
      </c>
      <c r="P179" s="5"/>
    </row>
    <row r="180" spans="1:16" x14ac:dyDescent="0.25">
      <c r="A180" s="5"/>
      <c r="B180" s="5"/>
      <c r="C180" s="6" t="str">
        <f>IFERROR(INDEX(Suppliers!$B$5:$B$104,MATCH(B180,Suppliers!$A$5:$A$104,0)),"")</f>
        <v/>
      </c>
      <c r="D180" s="5"/>
      <c r="E180" s="5"/>
      <c r="F180" s="7"/>
      <c r="G180" s="7"/>
      <c r="H180" s="8"/>
      <c r="I180" s="9"/>
      <c r="J180" s="10" t="str">
        <f t="shared" si="8"/>
        <v/>
      </c>
      <c r="K180" s="11" t="str">
        <f>IF(A180="","",SUMIF(Receipts!$B$5:$B$510,A180,Receipts!$D$5:$D$510))</f>
        <v/>
      </c>
      <c r="L180" s="11" t="str">
        <f t="shared" si="9"/>
        <v/>
      </c>
      <c r="M180" s="12" t="str">
        <f>IF(COUNTIF(Receipts!$B$5:$B$510,A180)=0,"",IFERROR(LOOKUP(2,1/(Receipts!$B$5:$B$510=A180),Receipts!$C$5:$C$510),""))</f>
        <v/>
      </c>
      <c r="N180" s="6" t="str">
        <f t="shared" ca="1" si="10"/>
        <v/>
      </c>
      <c r="O180" s="11" t="str">
        <f t="shared" ca="1" si="11"/>
        <v/>
      </c>
      <c r="P180" s="5"/>
    </row>
    <row r="181" spans="1:16" x14ac:dyDescent="0.25">
      <c r="A181" s="5"/>
      <c r="B181" s="5"/>
      <c r="C181" s="6" t="str">
        <f>IFERROR(INDEX(Suppliers!$B$5:$B$104,MATCH(B181,Suppliers!$A$5:$A$104,0)),"")</f>
        <v/>
      </c>
      <c r="D181" s="5"/>
      <c r="E181" s="5"/>
      <c r="F181" s="7"/>
      <c r="G181" s="7"/>
      <c r="H181" s="8"/>
      <c r="I181" s="9"/>
      <c r="J181" s="10" t="str">
        <f t="shared" si="8"/>
        <v/>
      </c>
      <c r="K181" s="11" t="str">
        <f>IF(A181="","",SUMIF(Receipts!$B$5:$B$510,A181,Receipts!$D$5:$D$510))</f>
        <v/>
      </c>
      <c r="L181" s="11" t="str">
        <f t="shared" si="9"/>
        <v/>
      </c>
      <c r="M181" s="12" t="str">
        <f>IF(COUNTIF(Receipts!$B$5:$B$510,A181)=0,"",IFERROR(LOOKUP(2,1/(Receipts!$B$5:$B$510=A181),Receipts!$C$5:$C$510),""))</f>
        <v/>
      </c>
      <c r="N181" s="6" t="str">
        <f t="shared" ca="1" si="10"/>
        <v/>
      </c>
      <c r="O181" s="11" t="str">
        <f t="shared" ca="1" si="11"/>
        <v/>
      </c>
      <c r="P181" s="5"/>
    </row>
    <row r="182" spans="1:16" x14ac:dyDescent="0.25">
      <c r="A182" s="5"/>
      <c r="B182" s="5"/>
      <c r="C182" s="6" t="str">
        <f>IFERROR(INDEX(Suppliers!$B$5:$B$104,MATCH(B182,Suppliers!$A$5:$A$104,0)),"")</f>
        <v/>
      </c>
      <c r="D182" s="5"/>
      <c r="E182" s="5"/>
      <c r="F182" s="7"/>
      <c r="G182" s="7"/>
      <c r="H182" s="8"/>
      <c r="I182" s="9"/>
      <c r="J182" s="10" t="str">
        <f t="shared" si="8"/>
        <v/>
      </c>
      <c r="K182" s="11" t="str">
        <f>IF(A182="","",SUMIF(Receipts!$B$5:$B$510,A182,Receipts!$D$5:$D$510))</f>
        <v/>
      </c>
      <c r="L182" s="11" t="str">
        <f t="shared" si="9"/>
        <v/>
      </c>
      <c r="M182" s="12" t="str">
        <f>IF(COUNTIF(Receipts!$B$5:$B$510,A182)=0,"",IFERROR(LOOKUP(2,1/(Receipts!$B$5:$B$510=A182),Receipts!$C$5:$C$510),""))</f>
        <v/>
      </c>
      <c r="N182" s="6" t="str">
        <f t="shared" ca="1" si="10"/>
        <v/>
      </c>
      <c r="O182" s="11" t="str">
        <f t="shared" ca="1" si="11"/>
        <v/>
      </c>
      <c r="P182" s="5"/>
    </row>
    <row r="183" spans="1:16" x14ac:dyDescent="0.25">
      <c r="A183" s="5"/>
      <c r="B183" s="5"/>
      <c r="C183" s="6" t="str">
        <f>IFERROR(INDEX(Suppliers!$B$5:$B$104,MATCH(B183,Suppliers!$A$5:$A$104,0)),"")</f>
        <v/>
      </c>
      <c r="D183" s="5"/>
      <c r="E183" s="5"/>
      <c r="F183" s="7"/>
      <c r="G183" s="7"/>
      <c r="H183" s="8"/>
      <c r="I183" s="9"/>
      <c r="J183" s="10" t="str">
        <f t="shared" si="8"/>
        <v/>
      </c>
      <c r="K183" s="11" t="str">
        <f>IF(A183="","",SUMIF(Receipts!$B$5:$B$510,A183,Receipts!$D$5:$D$510))</f>
        <v/>
      </c>
      <c r="L183" s="11" t="str">
        <f t="shared" si="9"/>
        <v/>
      </c>
      <c r="M183" s="12" t="str">
        <f>IF(COUNTIF(Receipts!$B$5:$B$510,A183)=0,"",IFERROR(LOOKUP(2,1/(Receipts!$B$5:$B$510=A183),Receipts!$C$5:$C$510),""))</f>
        <v/>
      </c>
      <c r="N183" s="6" t="str">
        <f t="shared" ca="1" si="10"/>
        <v/>
      </c>
      <c r="O183" s="11" t="str">
        <f t="shared" ca="1" si="11"/>
        <v/>
      </c>
      <c r="P183" s="5"/>
    </row>
    <row r="184" spans="1:16" x14ac:dyDescent="0.25">
      <c r="A184" s="5"/>
      <c r="B184" s="5"/>
      <c r="C184" s="6" t="str">
        <f>IFERROR(INDEX(Suppliers!$B$5:$B$104,MATCH(B184,Suppliers!$A$5:$A$104,0)),"")</f>
        <v/>
      </c>
      <c r="D184" s="5"/>
      <c r="E184" s="5"/>
      <c r="F184" s="7"/>
      <c r="G184" s="7"/>
      <c r="H184" s="8"/>
      <c r="I184" s="9"/>
      <c r="J184" s="10" t="str">
        <f t="shared" si="8"/>
        <v/>
      </c>
      <c r="K184" s="11" t="str">
        <f>IF(A184="","",SUMIF(Receipts!$B$5:$B$510,A184,Receipts!$D$5:$D$510))</f>
        <v/>
      </c>
      <c r="L184" s="11" t="str">
        <f t="shared" si="9"/>
        <v/>
      </c>
      <c r="M184" s="12" t="str">
        <f>IF(COUNTIF(Receipts!$B$5:$B$510,A184)=0,"",IFERROR(LOOKUP(2,1/(Receipts!$B$5:$B$510=A184),Receipts!$C$5:$C$510),""))</f>
        <v/>
      </c>
      <c r="N184" s="6" t="str">
        <f t="shared" ca="1" si="10"/>
        <v/>
      </c>
      <c r="O184" s="11" t="str">
        <f t="shared" ca="1" si="11"/>
        <v/>
      </c>
      <c r="P184" s="5"/>
    </row>
    <row r="185" spans="1:16" x14ac:dyDescent="0.25">
      <c r="A185" s="5"/>
      <c r="B185" s="5"/>
      <c r="C185" s="6" t="str">
        <f>IFERROR(INDEX(Suppliers!$B$5:$B$104,MATCH(B185,Suppliers!$A$5:$A$104,0)),"")</f>
        <v/>
      </c>
      <c r="D185" s="5"/>
      <c r="E185" s="5"/>
      <c r="F185" s="7"/>
      <c r="G185" s="7"/>
      <c r="H185" s="8"/>
      <c r="I185" s="9"/>
      <c r="J185" s="10" t="str">
        <f t="shared" si="8"/>
        <v/>
      </c>
      <c r="K185" s="11" t="str">
        <f>IF(A185="","",SUMIF(Receipts!$B$5:$B$510,A185,Receipts!$D$5:$D$510))</f>
        <v/>
      </c>
      <c r="L185" s="11" t="str">
        <f t="shared" si="9"/>
        <v/>
      </c>
      <c r="M185" s="12" t="str">
        <f>IF(COUNTIF(Receipts!$B$5:$B$510,A185)=0,"",IFERROR(LOOKUP(2,1/(Receipts!$B$5:$B$510=A185),Receipts!$C$5:$C$510),""))</f>
        <v/>
      </c>
      <c r="N185" s="6" t="str">
        <f t="shared" ca="1" si="10"/>
        <v/>
      </c>
      <c r="O185" s="11" t="str">
        <f t="shared" ca="1" si="11"/>
        <v/>
      </c>
      <c r="P185" s="5"/>
    </row>
    <row r="186" spans="1:16" x14ac:dyDescent="0.25">
      <c r="A186" s="5"/>
      <c r="B186" s="5"/>
      <c r="C186" s="6" t="str">
        <f>IFERROR(INDEX(Suppliers!$B$5:$B$104,MATCH(B186,Suppliers!$A$5:$A$104,0)),"")</f>
        <v/>
      </c>
      <c r="D186" s="5"/>
      <c r="E186" s="5"/>
      <c r="F186" s="7"/>
      <c r="G186" s="7"/>
      <c r="H186" s="8"/>
      <c r="I186" s="9"/>
      <c r="J186" s="10" t="str">
        <f t="shared" si="8"/>
        <v/>
      </c>
      <c r="K186" s="11" t="str">
        <f>IF(A186="","",SUMIF(Receipts!$B$5:$B$510,A186,Receipts!$D$5:$D$510))</f>
        <v/>
      </c>
      <c r="L186" s="11" t="str">
        <f t="shared" si="9"/>
        <v/>
      </c>
      <c r="M186" s="12" t="str">
        <f>IF(COUNTIF(Receipts!$B$5:$B$510,A186)=0,"",IFERROR(LOOKUP(2,1/(Receipts!$B$5:$B$510=A186),Receipts!$C$5:$C$510),""))</f>
        <v/>
      </c>
      <c r="N186" s="6" t="str">
        <f t="shared" ca="1" si="10"/>
        <v/>
      </c>
      <c r="O186" s="11" t="str">
        <f t="shared" ca="1" si="11"/>
        <v/>
      </c>
      <c r="P186" s="5"/>
    </row>
    <row r="187" spans="1:16" x14ac:dyDescent="0.25">
      <c r="A187" s="5"/>
      <c r="B187" s="5"/>
      <c r="C187" s="6" t="str">
        <f>IFERROR(INDEX(Suppliers!$B$5:$B$104,MATCH(B187,Suppliers!$A$5:$A$104,0)),"")</f>
        <v/>
      </c>
      <c r="D187" s="5"/>
      <c r="E187" s="5"/>
      <c r="F187" s="7"/>
      <c r="G187" s="7"/>
      <c r="H187" s="8"/>
      <c r="I187" s="9"/>
      <c r="J187" s="10" t="str">
        <f t="shared" si="8"/>
        <v/>
      </c>
      <c r="K187" s="11" t="str">
        <f>IF(A187="","",SUMIF(Receipts!$B$5:$B$510,A187,Receipts!$D$5:$D$510))</f>
        <v/>
      </c>
      <c r="L187" s="11" t="str">
        <f t="shared" si="9"/>
        <v/>
      </c>
      <c r="M187" s="12" t="str">
        <f>IF(COUNTIF(Receipts!$B$5:$B$510,A187)=0,"",IFERROR(LOOKUP(2,1/(Receipts!$B$5:$B$510=A187),Receipts!$C$5:$C$510),""))</f>
        <v/>
      </c>
      <c r="N187" s="6" t="str">
        <f t="shared" ca="1" si="10"/>
        <v/>
      </c>
      <c r="O187" s="11" t="str">
        <f t="shared" ca="1" si="11"/>
        <v/>
      </c>
      <c r="P187" s="5"/>
    </row>
    <row r="188" spans="1:16" x14ac:dyDescent="0.25">
      <c r="A188" s="5"/>
      <c r="B188" s="5"/>
      <c r="C188" s="6" t="str">
        <f>IFERROR(INDEX(Suppliers!$B$5:$B$104,MATCH(B188,Suppliers!$A$5:$A$104,0)),"")</f>
        <v/>
      </c>
      <c r="D188" s="5"/>
      <c r="E188" s="5"/>
      <c r="F188" s="7"/>
      <c r="G188" s="7"/>
      <c r="H188" s="8"/>
      <c r="I188" s="9"/>
      <c r="J188" s="10" t="str">
        <f t="shared" si="8"/>
        <v/>
      </c>
      <c r="K188" s="11" t="str">
        <f>IF(A188="","",SUMIF(Receipts!$B$5:$B$510,A188,Receipts!$D$5:$D$510))</f>
        <v/>
      </c>
      <c r="L188" s="11" t="str">
        <f t="shared" si="9"/>
        <v/>
      </c>
      <c r="M188" s="12" t="str">
        <f>IF(COUNTIF(Receipts!$B$5:$B$510,A188)=0,"",IFERROR(LOOKUP(2,1/(Receipts!$B$5:$B$510=A188),Receipts!$C$5:$C$510),""))</f>
        <v/>
      </c>
      <c r="N188" s="6" t="str">
        <f t="shared" ca="1" si="10"/>
        <v/>
      </c>
      <c r="O188" s="11" t="str">
        <f t="shared" ca="1" si="11"/>
        <v/>
      </c>
      <c r="P188" s="5"/>
    </row>
    <row r="189" spans="1:16" x14ac:dyDescent="0.25">
      <c r="A189" s="5"/>
      <c r="B189" s="5"/>
      <c r="C189" s="6" t="str">
        <f>IFERROR(INDEX(Suppliers!$B$5:$B$104,MATCH(B189,Suppliers!$A$5:$A$104,0)),"")</f>
        <v/>
      </c>
      <c r="D189" s="5"/>
      <c r="E189" s="5"/>
      <c r="F189" s="7"/>
      <c r="G189" s="7"/>
      <c r="H189" s="8"/>
      <c r="I189" s="9"/>
      <c r="J189" s="10" t="str">
        <f t="shared" si="8"/>
        <v/>
      </c>
      <c r="K189" s="11" t="str">
        <f>IF(A189="","",SUMIF(Receipts!$B$5:$B$510,A189,Receipts!$D$5:$D$510))</f>
        <v/>
      </c>
      <c r="L189" s="11" t="str">
        <f t="shared" si="9"/>
        <v/>
      </c>
      <c r="M189" s="12" t="str">
        <f>IF(COUNTIF(Receipts!$B$5:$B$510,A189)=0,"",IFERROR(LOOKUP(2,1/(Receipts!$B$5:$B$510=A189),Receipts!$C$5:$C$510),""))</f>
        <v/>
      </c>
      <c r="N189" s="6" t="str">
        <f t="shared" ca="1" si="10"/>
        <v/>
      </c>
      <c r="O189" s="11" t="str">
        <f t="shared" ca="1" si="11"/>
        <v/>
      </c>
      <c r="P189" s="5"/>
    </row>
    <row r="190" spans="1:16" x14ac:dyDescent="0.25">
      <c r="A190" s="5"/>
      <c r="B190" s="5"/>
      <c r="C190" s="6" t="str">
        <f>IFERROR(INDEX(Suppliers!$B$5:$B$104,MATCH(B190,Suppliers!$A$5:$A$104,0)),"")</f>
        <v/>
      </c>
      <c r="D190" s="5"/>
      <c r="E190" s="5"/>
      <c r="F190" s="7"/>
      <c r="G190" s="7"/>
      <c r="H190" s="8"/>
      <c r="I190" s="9"/>
      <c r="J190" s="10" t="str">
        <f t="shared" si="8"/>
        <v/>
      </c>
      <c r="K190" s="11" t="str">
        <f>IF(A190="","",SUMIF(Receipts!$B$5:$B$510,A190,Receipts!$D$5:$D$510))</f>
        <v/>
      </c>
      <c r="L190" s="11" t="str">
        <f t="shared" si="9"/>
        <v/>
      </c>
      <c r="M190" s="12" t="str">
        <f>IF(COUNTIF(Receipts!$B$5:$B$510,A190)=0,"",IFERROR(LOOKUP(2,1/(Receipts!$B$5:$B$510=A190),Receipts!$C$5:$C$510),""))</f>
        <v/>
      </c>
      <c r="N190" s="6" t="str">
        <f t="shared" ca="1" si="10"/>
        <v/>
      </c>
      <c r="O190" s="11" t="str">
        <f t="shared" ca="1" si="11"/>
        <v/>
      </c>
      <c r="P190" s="5"/>
    </row>
    <row r="191" spans="1:16" x14ac:dyDescent="0.25">
      <c r="A191" s="5"/>
      <c r="B191" s="5"/>
      <c r="C191" s="6" t="str">
        <f>IFERROR(INDEX(Suppliers!$B$5:$B$104,MATCH(B191,Suppliers!$A$5:$A$104,0)),"")</f>
        <v/>
      </c>
      <c r="D191" s="5"/>
      <c r="E191" s="5"/>
      <c r="F191" s="7"/>
      <c r="G191" s="7"/>
      <c r="H191" s="8"/>
      <c r="I191" s="9"/>
      <c r="J191" s="10" t="str">
        <f t="shared" si="8"/>
        <v/>
      </c>
      <c r="K191" s="11" t="str">
        <f>IF(A191="","",SUMIF(Receipts!$B$5:$B$510,A191,Receipts!$D$5:$D$510))</f>
        <v/>
      </c>
      <c r="L191" s="11" t="str">
        <f t="shared" si="9"/>
        <v/>
      </c>
      <c r="M191" s="12" t="str">
        <f>IF(COUNTIF(Receipts!$B$5:$B$510,A191)=0,"",IFERROR(LOOKUP(2,1/(Receipts!$B$5:$B$510=A191),Receipts!$C$5:$C$510),""))</f>
        <v/>
      </c>
      <c r="N191" s="6" t="str">
        <f t="shared" ca="1" si="10"/>
        <v/>
      </c>
      <c r="O191" s="11" t="str">
        <f t="shared" ca="1" si="11"/>
        <v/>
      </c>
      <c r="P191" s="5"/>
    </row>
    <row r="192" spans="1:16" x14ac:dyDescent="0.25">
      <c r="A192" s="5"/>
      <c r="B192" s="5"/>
      <c r="C192" s="6" t="str">
        <f>IFERROR(INDEX(Suppliers!$B$5:$B$104,MATCH(B192,Suppliers!$A$5:$A$104,0)),"")</f>
        <v/>
      </c>
      <c r="D192" s="5"/>
      <c r="E192" s="5"/>
      <c r="F192" s="7"/>
      <c r="G192" s="7"/>
      <c r="H192" s="8"/>
      <c r="I192" s="9"/>
      <c r="J192" s="10" t="str">
        <f t="shared" si="8"/>
        <v/>
      </c>
      <c r="K192" s="11" t="str">
        <f>IF(A192="","",SUMIF(Receipts!$B$5:$B$510,A192,Receipts!$D$5:$D$510))</f>
        <v/>
      </c>
      <c r="L192" s="11" t="str">
        <f t="shared" si="9"/>
        <v/>
      </c>
      <c r="M192" s="12" t="str">
        <f>IF(COUNTIF(Receipts!$B$5:$B$510,A192)=0,"",IFERROR(LOOKUP(2,1/(Receipts!$B$5:$B$510=A192),Receipts!$C$5:$C$510),""))</f>
        <v/>
      </c>
      <c r="N192" s="6" t="str">
        <f t="shared" ca="1" si="10"/>
        <v/>
      </c>
      <c r="O192" s="11" t="str">
        <f t="shared" ca="1" si="11"/>
        <v/>
      </c>
      <c r="P192" s="5"/>
    </row>
    <row r="193" spans="1:16" x14ac:dyDescent="0.25">
      <c r="A193" s="5"/>
      <c r="B193" s="5"/>
      <c r="C193" s="6" t="str">
        <f>IFERROR(INDEX(Suppliers!$B$5:$B$104,MATCH(B193,Suppliers!$A$5:$A$104,0)),"")</f>
        <v/>
      </c>
      <c r="D193" s="5"/>
      <c r="E193" s="5"/>
      <c r="F193" s="7"/>
      <c r="G193" s="7"/>
      <c r="H193" s="8"/>
      <c r="I193" s="9"/>
      <c r="J193" s="10" t="str">
        <f t="shared" si="8"/>
        <v/>
      </c>
      <c r="K193" s="11" t="str">
        <f>IF(A193="","",SUMIF(Receipts!$B$5:$B$510,A193,Receipts!$D$5:$D$510))</f>
        <v/>
      </c>
      <c r="L193" s="11" t="str">
        <f t="shared" si="9"/>
        <v/>
      </c>
      <c r="M193" s="12" t="str">
        <f>IF(COUNTIF(Receipts!$B$5:$B$510,A193)=0,"",IFERROR(LOOKUP(2,1/(Receipts!$B$5:$B$510=A193),Receipts!$C$5:$C$510),""))</f>
        <v/>
      </c>
      <c r="N193" s="6" t="str">
        <f t="shared" ca="1" si="10"/>
        <v/>
      </c>
      <c r="O193" s="11" t="str">
        <f t="shared" ca="1" si="11"/>
        <v/>
      </c>
      <c r="P193" s="5"/>
    </row>
    <row r="194" spans="1:16" x14ac:dyDescent="0.25">
      <c r="A194" s="5"/>
      <c r="B194" s="5"/>
      <c r="C194" s="6" t="str">
        <f>IFERROR(INDEX(Suppliers!$B$5:$B$104,MATCH(B194,Suppliers!$A$5:$A$104,0)),"")</f>
        <v/>
      </c>
      <c r="D194" s="5"/>
      <c r="E194" s="5"/>
      <c r="F194" s="7"/>
      <c r="G194" s="7"/>
      <c r="H194" s="8"/>
      <c r="I194" s="9"/>
      <c r="J194" s="10" t="str">
        <f t="shared" si="8"/>
        <v/>
      </c>
      <c r="K194" s="11" t="str">
        <f>IF(A194="","",SUMIF(Receipts!$B$5:$B$510,A194,Receipts!$D$5:$D$510))</f>
        <v/>
      </c>
      <c r="L194" s="11" t="str">
        <f t="shared" si="9"/>
        <v/>
      </c>
      <c r="M194" s="12" t="str">
        <f>IF(COUNTIF(Receipts!$B$5:$B$510,A194)=0,"",IFERROR(LOOKUP(2,1/(Receipts!$B$5:$B$510=A194),Receipts!$C$5:$C$510),""))</f>
        <v/>
      </c>
      <c r="N194" s="6" t="str">
        <f t="shared" ca="1" si="10"/>
        <v/>
      </c>
      <c r="O194" s="11" t="str">
        <f t="shared" ca="1" si="11"/>
        <v/>
      </c>
      <c r="P194" s="5"/>
    </row>
    <row r="195" spans="1:16" x14ac:dyDescent="0.25">
      <c r="A195" s="5"/>
      <c r="B195" s="5"/>
      <c r="C195" s="6" t="str">
        <f>IFERROR(INDEX(Suppliers!$B$5:$B$104,MATCH(B195,Suppliers!$A$5:$A$104,0)),"")</f>
        <v/>
      </c>
      <c r="D195" s="5"/>
      <c r="E195" s="5"/>
      <c r="F195" s="7"/>
      <c r="G195" s="7"/>
      <c r="H195" s="8"/>
      <c r="I195" s="9"/>
      <c r="J195" s="10" t="str">
        <f t="shared" si="8"/>
        <v/>
      </c>
      <c r="K195" s="11" t="str">
        <f>IF(A195="","",SUMIF(Receipts!$B$5:$B$510,A195,Receipts!$D$5:$D$510))</f>
        <v/>
      </c>
      <c r="L195" s="11" t="str">
        <f t="shared" si="9"/>
        <v/>
      </c>
      <c r="M195" s="12" t="str">
        <f>IF(COUNTIF(Receipts!$B$5:$B$510,A195)=0,"",IFERROR(LOOKUP(2,1/(Receipts!$B$5:$B$510=A195),Receipts!$C$5:$C$510),""))</f>
        <v/>
      </c>
      <c r="N195" s="6" t="str">
        <f t="shared" ca="1" si="10"/>
        <v/>
      </c>
      <c r="O195" s="11" t="str">
        <f t="shared" ca="1" si="11"/>
        <v/>
      </c>
      <c r="P195" s="5"/>
    </row>
    <row r="196" spans="1:16" x14ac:dyDescent="0.25">
      <c r="A196" s="5"/>
      <c r="B196" s="5"/>
      <c r="C196" s="6" t="str">
        <f>IFERROR(INDEX(Suppliers!$B$5:$B$104,MATCH(B196,Suppliers!$A$5:$A$104,0)),"")</f>
        <v/>
      </c>
      <c r="D196" s="5"/>
      <c r="E196" s="5"/>
      <c r="F196" s="7"/>
      <c r="G196" s="7"/>
      <c r="H196" s="8"/>
      <c r="I196" s="9"/>
      <c r="J196" s="10" t="str">
        <f t="shared" si="8"/>
        <v/>
      </c>
      <c r="K196" s="11" t="str">
        <f>IF(A196="","",SUMIF(Receipts!$B$5:$B$510,A196,Receipts!$D$5:$D$510))</f>
        <v/>
      </c>
      <c r="L196" s="11" t="str">
        <f t="shared" si="9"/>
        <v/>
      </c>
      <c r="M196" s="12" t="str">
        <f>IF(COUNTIF(Receipts!$B$5:$B$510,A196)=0,"",IFERROR(LOOKUP(2,1/(Receipts!$B$5:$B$510=A196),Receipts!$C$5:$C$510),""))</f>
        <v/>
      </c>
      <c r="N196" s="6" t="str">
        <f t="shared" ca="1" si="10"/>
        <v/>
      </c>
      <c r="O196" s="11" t="str">
        <f t="shared" ca="1" si="11"/>
        <v/>
      </c>
      <c r="P196" s="5"/>
    </row>
    <row r="197" spans="1:16" x14ac:dyDescent="0.25">
      <c r="A197" s="5"/>
      <c r="B197" s="5"/>
      <c r="C197" s="6" t="str">
        <f>IFERROR(INDEX(Suppliers!$B$5:$B$104,MATCH(B197,Suppliers!$A$5:$A$104,0)),"")</f>
        <v/>
      </c>
      <c r="D197" s="5"/>
      <c r="E197" s="5"/>
      <c r="F197" s="7"/>
      <c r="G197" s="7"/>
      <c r="H197" s="8"/>
      <c r="I197" s="9"/>
      <c r="J197" s="10" t="str">
        <f t="shared" ref="J197:J260" si="12">IF(OR(H197="",I197=""),"",H197*I197)</f>
        <v/>
      </c>
      <c r="K197" s="11" t="str">
        <f>IF(A197="","",SUMIF(Receipts!$B$5:$B$510,A197,Receipts!$D$5:$D$510))</f>
        <v/>
      </c>
      <c r="L197" s="11" t="str">
        <f t="shared" ref="L197:L260" si="13">IF(A197="","",MAX(0,H197-K197))</f>
        <v/>
      </c>
      <c r="M197" s="12" t="str">
        <f>IF(COUNTIF(Receipts!$B$5:$B$510,A197)=0,"",IFERROR(LOOKUP(2,1/(Receipts!$B$5:$B$510=A197),Receipts!$C$5:$C$510),""))</f>
        <v/>
      </c>
      <c r="N197" s="6" t="str">
        <f t="shared" ref="N197:N260" ca="1" si="14">IF(A197="","",IF(OR(H197="",G197=""),"Incomplete",IF(K197&gt;H197,"Over-received",IF(L197=0,"Complete",IF(K197&gt;0,IF(G197&lt;TODAY(),"Overdue - Partial","Partially Received"),IF(G197&lt;TODAY(),"Overdue","Scheduled"))))))</f>
        <v/>
      </c>
      <c r="O197" s="11" t="str">
        <f t="shared" ref="O197:O260" ca="1" si="15">IF(OR(A197="",L197=0,G197=""),"",MAX(0,TODAY()-G197))</f>
        <v/>
      </c>
      <c r="P197" s="5"/>
    </row>
    <row r="198" spans="1:16" x14ac:dyDescent="0.25">
      <c r="A198" s="5"/>
      <c r="B198" s="5"/>
      <c r="C198" s="6" t="str">
        <f>IFERROR(INDEX(Suppliers!$B$5:$B$104,MATCH(B198,Suppliers!$A$5:$A$104,0)),"")</f>
        <v/>
      </c>
      <c r="D198" s="5"/>
      <c r="E198" s="5"/>
      <c r="F198" s="7"/>
      <c r="G198" s="7"/>
      <c r="H198" s="8"/>
      <c r="I198" s="9"/>
      <c r="J198" s="10" t="str">
        <f t="shared" si="12"/>
        <v/>
      </c>
      <c r="K198" s="11" t="str">
        <f>IF(A198="","",SUMIF(Receipts!$B$5:$B$510,A198,Receipts!$D$5:$D$510))</f>
        <v/>
      </c>
      <c r="L198" s="11" t="str">
        <f t="shared" si="13"/>
        <v/>
      </c>
      <c r="M198" s="12" t="str">
        <f>IF(COUNTIF(Receipts!$B$5:$B$510,A198)=0,"",IFERROR(LOOKUP(2,1/(Receipts!$B$5:$B$510=A198),Receipts!$C$5:$C$510),""))</f>
        <v/>
      </c>
      <c r="N198" s="6" t="str">
        <f t="shared" ca="1" si="14"/>
        <v/>
      </c>
      <c r="O198" s="11" t="str">
        <f t="shared" ca="1" si="15"/>
        <v/>
      </c>
      <c r="P198" s="5"/>
    </row>
    <row r="199" spans="1:16" x14ac:dyDescent="0.25">
      <c r="A199" s="5"/>
      <c r="B199" s="5"/>
      <c r="C199" s="6" t="str">
        <f>IFERROR(INDEX(Suppliers!$B$5:$B$104,MATCH(B199,Suppliers!$A$5:$A$104,0)),"")</f>
        <v/>
      </c>
      <c r="D199" s="5"/>
      <c r="E199" s="5"/>
      <c r="F199" s="7"/>
      <c r="G199" s="7"/>
      <c r="H199" s="8"/>
      <c r="I199" s="9"/>
      <c r="J199" s="10" t="str">
        <f t="shared" si="12"/>
        <v/>
      </c>
      <c r="K199" s="11" t="str">
        <f>IF(A199="","",SUMIF(Receipts!$B$5:$B$510,A199,Receipts!$D$5:$D$510))</f>
        <v/>
      </c>
      <c r="L199" s="11" t="str">
        <f t="shared" si="13"/>
        <v/>
      </c>
      <c r="M199" s="12" t="str">
        <f>IF(COUNTIF(Receipts!$B$5:$B$510,A199)=0,"",IFERROR(LOOKUP(2,1/(Receipts!$B$5:$B$510=A199),Receipts!$C$5:$C$510),""))</f>
        <v/>
      </c>
      <c r="N199" s="6" t="str">
        <f t="shared" ca="1" si="14"/>
        <v/>
      </c>
      <c r="O199" s="11" t="str">
        <f t="shared" ca="1" si="15"/>
        <v/>
      </c>
      <c r="P199" s="5"/>
    </row>
    <row r="200" spans="1:16" x14ac:dyDescent="0.25">
      <c r="A200" s="5"/>
      <c r="B200" s="5"/>
      <c r="C200" s="6" t="str">
        <f>IFERROR(INDEX(Suppliers!$B$5:$B$104,MATCH(B200,Suppliers!$A$5:$A$104,0)),"")</f>
        <v/>
      </c>
      <c r="D200" s="5"/>
      <c r="E200" s="5"/>
      <c r="F200" s="7"/>
      <c r="G200" s="7"/>
      <c r="H200" s="8"/>
      <c r="I200" s="9"/>
      <c r="J200" s="10" t="str">
        <f t="shared" si="12"/>
        <v/>
      </c>
      <c r="K200" s="11" t="str">
        <f>IF(A200="","",SUMIF(Receipts!$B$5:$B$510,A200,Receipts!$D$5:$D$510))</f>
        <v/>
      </c>
      <c r="L200" s="11" t="str">
        <f t="shared" si="13"/>
        <v/>
      </c>
      <c r="M200" s="12" t="str">
        <f>IF(COUNTIF(Receipts!$B$5:$B$510,A200)=0,"",IFERROR(LOOKUP(2,1/(Receipts!$B$5:$B$510=A200),Receipts!$C$5:$C$510),""))</f>
        <v/>
      </c>
      <c r="N200" s="6" t="str">
        <f t="shared" ca="1" si="14"/>
        <v/>
      </c>
      <c r="O200" s="11" t="str">
        <f t="shared" ca="1" si="15"/>
        <v/>
      </c>
      <c r="P200" s="5"/>
    </row>
    <row r="201" spans="1:16" x14ac:dyDescent="0.25">
      <c r="A201" s="5"/>
      <c r="B201" s="5"/>
      <c r="C201" s="6" t="str">
        <f>IFERROR(INDEX(Suppliers!$B$5:$B$104,MATCH(B201,Suppliers!$A$5:$A$104,0)),"")</f>
        <v/>
      </c>
      <c r="D201" s="5"/>
      <c r="E201" s="5"/>
      <c r="F201" s="7"/>
      <c r="G201" s="7"/>
      <c r="H201" s="8"/>
      <c r="I201" s="9"/>
      <c r="J201" s="10" t="str">
        <f t="shared" si="12"/>
        <v/>
      </c>
      <c r="K201" s="11" t="str">
        <f>IF(A201="","",SUMIF(Receipts!$B$5:$B$510,A201,Receipts!$D$5:$D$510))</f>
        <v/>
      </c>
      <c r="L201" s="11" t="str">
        <f t="shared" si="13"/>
        <v/>
      </c>
      <c r="M201" s="12" t="str">
        <f>IF(COUNTIF(Receipts!$B$5:$B$510,A201)=0,"",IFERROR(LOOKUP(2,1/(Receipts!$B$5:$B$510=A201),Receipts!$C$5:$C$510),""))</f>
        <v/>
      </c>
      <c r="N201" s="6" t="str">
        <f t="shared" ca="1" si="14"/>
        <v/>
      </c>
      <c r="O201" s="11" t="str">
        <f t="shared" ca="1" si="15"/>
        <v/>
      </c>
      <c r="P201" s="5"/>
    </row>
    <row r="202" spans="1:16" x14ac:dyDescent="0.25">
      <c r="A202" s="5"/>
      <c r="B202" s="5"/>
      <c r="C202" s="6" t="str">
        <f>IFERROR(INDEX(Suppliers!$B$5:$B$104,MATCH(B202,Suppliers!$A$5:$A$104,0)),"")</f>
        <v/>
      </c>
      <c r="D202" s="5"/>
      <c r="E202" s="5"/>
      <c r="F202" s="7"/>
      <c r="G202" s="7"/>
      <c r="H202" s="8"/>
      <c r="I202" s="9"/>
      <c r="J202" s="10" t="str">
        <f t="shared" si="12"/>
        <v/>
      </c>
      <c r="K202" s="11" t="str">
        <f>IF(A202="","",SUMIF(Receipts!$B$5:$B$510,A202,Receipts!$D$5:$D$510))</f>
        <v/>
      </c>
      <c r="L202" s="11" t="str">
        <f t="shared" si="13"/>
        <v/>
      </c>
      <c r="M202" s="12" t="str">
        <f>IF(COUNTIF(Receipts!$B$5:$B$510,A202)=0,"",IFERROR(LOOKUP(2,1/(Receipts!$B$5:$B$510=A202),Receipts!$C$5:$C$510),""))</f>
        <v/>
      </c>
      <c r="N202" s="6" t="str">
        <f t="shared" ca="1" si="14"/>
        <v/>
      </c>
      <c r="O202" s="11" t="str">
        <f t="shared" ca="1" si="15"/>
        <v/>
      </c>
      <c r="P202" s="5"/>
    </row>
    <row r="203" spans="1:16" x14ac:dyDescent="0.25">
      <c r="A203" s="5"/>
      <c r="B203" s="5"/>
      <c r="C203" s="6" t="str">
        <f>IFERROR(INDEX(Suppliers!$B$5:$B$104,MATCH(B203,Suppliers!$A$5:$A$104,0)),"")</f>
        <v/>
      </c>
      <c r="D203" s="5"/>
      <c r="E203" s="5"/>
      <c r="F203" s="7"/>
      <c r="G203" s="7"/>
      <c r="H203" s="8"/>
      <c r="I203" s="9"/>
      <c r="J203" s="10" t="str">
        <f t="shared" si="12"/>
        <v/>
      </c>
      <c r="K203" s="11" t="str">
        <f>IF(A203="","",SUMIF(Receipts!$B$5:$B$510,A203,Receipts!$D$5:$D$510))</f>
        <v/>
      </c>
      <c r="L203" s="11" t="str">
        <f t="shared" si="13"/>
        <v/>
      </c>
      <c r="M203" s="12" t="str">
        <f>IF(COUNTIF(Receipts!$B$5:$B$510,A203)=0,"",IFERROR(LOOKUP(2,1/(Receipts!$B$5:$B$510=A203),Receipts!$C$5:$C$510),""))</f>
        <v/>
      </c>
      <c r="N203" s="6" t="str">
        <f t="shared" ca="1" si="14"/>
        <v/>
      </c>
      <c r="O203" s="11" t="str">
        <f t="shared" ca="1" si="15"/>
        <v/>
      </c>
      <c r="P203" s="5"/>
    </row>
    <row r="204" spans="1:16" x14ac:dyDescent="0.25">
      <c r="A204" s="5"/>
      <c r="B204" s="5"/>
      <c r="C204" s="6" t="str">
        <f>IFERROR(INDEX(Suppliers!$B$5:$B$104,MATCH(B204,Suppliers!$A$5:$A$104,0)),"")</f>
        <v/>
      </c>
      <c r="D204" s="5"/>
      <c r="E204" s="5"/>
      <c r="F204" s="7"/>
      <c r="G204" s="7"/>
      <c r="H204" s="8"/>
      <c r="I204" s="9"/>
      <c r="J204" s="10" t="str">
        <f t="shared" si="12"/>
        <v/>
      </c>
      <c r="K204" s="11" t="str">
        <f>IF(A204="","",SUMIF(Receipts!$B$5:$B$510,A204,Receipts!$D$5:$D$510))</f>
        <v/>
      </c>
      <c r="L204" s="11" t="str">
        <f t="shared" si="13"/>
        <v/>
      </c>
      <c r="M204" s="12" t="str">
        <f>IF(COUNTIF(Receipts!$B$5:$B$510,A204)=0,"",IFERROR(LOOKUP(2,1/(Receipts!$B$5:$B$510=A204),Receipts!$C$5:$C$510),""))</f>
        <v/>
      </c>
      <c r="N204" s="6" t="str">
        <f t="shared" ca="1" si="14"/>
        <v/>
      </c>
      <c r="O204" s="11" t="str">
        <f t="shared" ca="1" si="15"/>
        <v/>
      </c>
      <c r="P204" s="5"/>
    </row>
    <row r="205" spans="1:16" x14ac:dyDescent="0.25">
      <c r="A205" s="5"/>
      <c r="B205" s="5"/>
      <c r="C205" s="6" t="str">
        <f>IFERROR(INDEX(Suppliers!$B$5:$B$104,MATCH(B205,Suppliers!$A$5:$A$104,0)),"")</f>
        <v/>
      </c>
      <c r="D205" s="5"/>
      <c r="E205" s="5"/>
      <c r="F205" s="7"/>
      <c r="G205" s="7"/>
      <c r="H205" s="8"/>
      <c r="I205" s="9"/>
      <c r="J205" s="10" t="str">
        <f t="shared" si="12"/>
        <v/>
      </c>
      <c r="K205" s="11" t="str">
        <f>IF(A205="","",SUMIF(Receipts!$B$5:$B$510,A205,Receipts!$D$5:$D$510))</f>
        <v/>
      </c>
      <c r="L205" s="11" t="str">
        <f t="shared" si="13"/>
        <v/>
      </c>
      <c r="M205" s="12" t="str">
        <f>IF(COUNTIF(Receipts!$B$5:$B$510,A205)=0,"",IFERROR(LOOKUP(2,1/(Receipts!$B$5:$B$510=A205),Receipts!$C$5:$C$510),""))</f>
        <v/>
      </c>
      <c r="N205" s="6" t="str">
        <f t="shared" ca="1" si="14"/>
        <v/>
      </c>
      <c r="O205" s="11" t="str">
        <f t="shared" ca="1" si="15"/>
        <v/>
      </c>
      <c r="P205" s="5"/>
    </row>
    <row r="206" spans="1:16" x14ac:dyDescent="0.25">
      <c r="A206" s="5"/>
      <c r="B206" s="5"/>
      <c r="C206" s="6" t="str">
        <f>IFERROR(INDEX(Suppliers!$B$5:$B$104,MATCH(B206,Suppliers!$A$5:$A$104,0)),"")</f>
        <v/>
      </c>
      <c r="D206" s="5"/>
      <c r="E206" s="5"/>
      <c r="F206" s="7"/>
      <c r="G206" s="7"/>
      <c r="H206" s="8"/>
      <c r="I206" s="9"/>
      <c r="J206" s="10" t="str">
        <f t="shared" si="12"/>
        <v/>
      </c>
      <c r="K206" s="11" t="str">
        <f>IF(A206="","",SUMIF(Receipts!$B$5:$B$510,A206,Receipts!$D$5:$D$510))</f>
        <v/>
      </c>
      <c r="L206" s="11" t="str">
        <f t="shared" si="13"/>
        <v/>
      </c>
      <c r="M206" s="12" t="str">
        <f>IF(COUNTIF(Receipts!$B$5:$B$510,A206)=0,"",IFERROR(LOOKUP(2,1/(Receipts!$B$5:$B$510=A206),Receipts!$C$5:$C$510),""))</f>
        <v/>
      </c>
      <c r="N206" s="6" t="str">
        <f t="shared" ca="1" si="14"/>
        <v/>
      </c>
      <c r="O206" s="11" t="str">
        <f t="shared" ca="1" si="15"/>
        <v/>
      </c>
      <c r="P206" s="5"/>
    </row>
    <row r="207" spans="1:16" x14ac:dyDescent="0.25">
      <c r="A207" s="5"/>
      <c r="B207" s="5"/>
      <c r="C207" s="6" t="str">
        <f>IFERROR(INDEX(Suppliers!$B$5:$B$104,MATCH(B207,Suppliers!$A$5:$A$104,0)),"")</f>
        <v/>
      </c>
      <c r="D207" s="5"/>
      <c r="E207" s="5"/>
      <c r="F207" s="7"/>
      <c r="G207" s="7"/>
      <c r="H207" s="8"/>
      <c r="I207" s="9"/>
      <c r="J207" s="10" t="str">
        <f t="shared" si="12"/>
        <v/>
      </c>
      <c r="K207" s="11" t="str">
        <f>IF(A207="","",SUMIF(Receipts!$B$5:$B$510,A207,Receipts!$D$5:$D$510))</f>
        <v/>
      </c>
      <c r="L207" s="11" t="str">
        <f t="shared" si="13"/>
        <v/>
      </c>
      <c r="M207" s="12" t="str">
        <f>IF(COUNTIF(Receipts!$B$5:$B$510,A207)=0,"",IFERROR(LOOKUP(2,1/(Receipts!$B$5:$B$510=A207),Receipts!$C$5:$C$510),""))</f>
        <v/>
      </c>
      <c r="N207" s="6" t="str">
        <f t="shared" ca="1" si="14"/>
        <v/>
      </c>
      <c r="O207" s="11" t="str">
        <f t="shared" ca="1" si="15"/>
        <v/>
      </c>
      <c r="P207" s="5"/>
    </row>
    <row r="208" spans="1:16" x14ac:dyDescent="0.25">
      <c r="A208" s="5"/>
      <c r="B208" s="5"/>
      <c r="C208" s="6" t="str">
        <f>IFERROR(INDEX(Suppliers!$B$5:$B$104,MATCH(B208,Suppliers!$A$5:$A$104,0)),"")</f>
        <v/>
      </c>
      <c r="D208" s="5"/>
      <c r="E208" s="5"/>
      <c r="F208" s="7"/>
      <c r="G208" s="7"/>
      <c r="H208" s="8"/>
      <c r="I208" s="9"/>
      <c r="J208" s="10" t="str">
        <f t="shared" si="12"/>
        <v/>
      </c>
      <c r="K208" s="11" t="str">
        <f>IF(A208="","",SUMIF(Receipts!$B$5:$B$510,A208,Receipts!$D$5:$D$510))</f>
        <v/>
      </c>
      <c r="L208" s="11" t="str">
        <f t="shared" si="13"/>
        <v/>
      </c>
      <c r="M208" s="12" t="str">
        <f>IF(COUNTIF(Receipts!$B$5:$B$510,A208)=0,"",IFERROR(LOOKUP(2,1/(Receipts!$B$5:$B$510=A208),Receipts!$C$5:$C$510),""))</f>
        <v/>
      </c>
      <c r="N208" s="6" t="str">
        <f t="shared" ca="1" si="14"/>
        <v/>
      </c>
      <c r="O208" s="11" t="str">
        <f t="shared" ca="1" si="15"/>
        <v/>
      </c>
      <c r="P208" s="5"/>
    </row>
    <row r="209" spans="1:16" x14ac:dyDescent="0.25">
      <c r="A209" s="5"/>
      <c r="B209" s="5"/>
      <c r="C209" s="6" t="str">
        <f>IFERROR(INDEX(Suppliers!$B$5:$B$104,MATCH(B209,Suppliers!$A$5:$A$104,0)),"")</f>
        <v/>
      </c>
      <c r="D209" s="5"/>
      <c r="E209" s="5"/>
      <c r="F209" s="7"/>
      <c r="G209" s="7"/>
      <c r="H209" s="8"/>
      <c r="I209" s="9"/>
      <c r="J209" s="10" t="str">
        <f t="shared" si="12"/>
        <v/>
      </c>
      <c r="K209" s="11" t="str">
        <f>IF(A209="","",SUMIF(Receipts!$B$5:$B$510,A209,Receipts!$D$5:$D$510))</f>
        <v/>
      </c>
      <c r="L209" s="11" t="str">
        <f t="shared" si="13"/>
        <v/>
      </c>
      <c r="M209" s="12" t="str">
        <f>IF(COUNTIF(Receipts!$B$5:$B$510,A209)=0,"",IFERROR(LOOKUP(2,1/(Receipts!$B$5:$B$510=A209),Receipts!$C$5:$C$510),""))</f>
        <v/>
      </c>
      <c r="N209" s="6" t="str">
        <f t="shared" ca="1" si="14"/>
        <v/>
      </c>
      <c r="O209" s="11" t="str">
        <f t="shared" ca="1" si="15"/>
        <v/>
      </c>
      <c r="P209" s="5"/>
    </row>
    <row r="210" spans="1:16" x14ac:dyDescent="0.25">
      <c r="A210" s="5"/>
      <c r="B210" s="5"/>
      <c r="C210" s="6" t="str">
        <f>IFERROR(INDEX(Suppliers!$B$5:$B$104,MATCH(B210,Suppliers!$A$5:$A$104,0)),"")</f>
        <v/>
      </c>
      <c r="D210" s="5"/>
      <c r="E210" s="5"/>
      <c r="F210" s="7"/>
      <c r="G210" s="7"/>
      <c r="H210" s="8"/>
      <c r="I210" s="9"/>
      <c r="J210" s="10" t="str">
        <f t="shared" si="12"/>
        <v/>
      </c>
      <c r="K210" s="11" t="str">
        <f>IF(A210="","",SUMIF(Receipts!$B$5:$B$510,A210,Receipts!$D$5:$D$510))</f>
        <v/>
      </c>
      <c r="L210" s="11" t="str">
        <f t="shared" si="13"/>
        <v/>
      </c>
      <c r="M210" s="12" t="str">
        <f>IF(COUNTIF(Receipts!$B$5:$B$510,A210)=0,"",IFERROR(LOOKUP(2,1/(Receipts!$B$5:$B$510=A210),Receipts!$C$5:$C$510),""))</f>
        <v/>
      </c>
      <c r="N210" s="6" t="str">
        <f t="shared" ca="1" si="14"/>
        <v/>
      </c>
      <c r="O210" s="11" t="str">
        <f t="shared" ca="1" si="15"/>
        <v/>
      </c>
      <c r="P210" s="5"/>
    </row>
    <row r="211" spans="1:16" x14ac:dyDescent="0.25">
      <c r="A211" s="5"/>
      <c r="B211" s="5"/>
      <c r="C211" s="6" t="str">
        <f>IFERROR(INDEX(Suppliers!$B$5:$B$104,MATCH(B211,Suppliers!$A$5:$A$104,0)),"")</f>
        <v/>
      </c>
      <c r="D211" s="5"/>
      <c r="E211" s="5"/>
      <c r="F211" s="7"/>
      <c r="G211" s="7"/>
      <c r="H211" s="8"/>
      <c r="I211" s="9"/>
      <c r="J211" s="10" t="str">
        <f t="shared" si="12"/>
        <v/>
      </c>
      <c r="K211" s="11" t="str">
        <f>IF(A211="","",SUMIF(Receipts!$B$5:$B$510,A211,Receipts!$D$5:$D$510))</f>
        <v/>
      </c>
      <c r="L211" s="11" t="str">
        <f t="shared" si="13"/>
        <v/>
      </c>
      <c r="M211" s="12" t="str">
        <f>IF(COUNTIF(Receipts!$B$5:$B$510,A211)=0,"",IFERROR(LOOKUP(2,1/(Receipts!$B$5:$B$510=A211),Receipts!$C$5:$C$510),""))</f>
        <v/>
      </c>
      <c r="N211" s="6" t="str">
        <f t="shared" ca="1" si="14"/>
        <v/>
      </c>
      <c r="O211" s="11" t="str">
        <f t="shared" ca="1" si="15"/>
        <v/>
      </c>
      <c r="P211" s="5"/>
    </row>
    <row r="212" spans="1:16" x14ac:dyDescent="0.25">
      <c r="A212" s="5"/>
      <c r="B212" s="5"/>
      <c r="C212" s="6" t="str">
        <f>IFERROR(INDEX(Suppliers!$B$5:$B$104,MATCH(B212,Suppliers!$A$5:$A$104,0)),"")</f>
        <v/>
      </c>
      <c r="D212" s="5"/>
      <c r="E212" s="5"/>
      <c r="F212" s="7"/>
      <c r="G212" s="7"/>
      <c r="H212" s="8"/>
      <c r="I212" s="9"/>
      <c r="J212" s="10" t="str">
        <f t="shared" si="12"/>
        <v/>
      </c>
      <c r="K212" s="11" t="str">
        <f>IF(A212="","",SUMIF(Receipts!$B$5:$B$510,A212,Receipts!$D$5:$D$510))</f>
        <v/>
      </c>
      <c r="L212" s="11" t="str">
        <f t="shared" si="13"/>
        <v/>
      </c>
      <c r="M212" s="12" t="str">
        <f>IF(COUNTIF(Receipts!$B$5:$B$510,A212)=0,"",IFERROR(LOOKUP(2,1/(Receipts!$B$5:$B$510=A212),Receipts!$C$5:$C$510),""))</f>
        <v/>
      </c>
      <c r="N212" s="6" t="str">
        <f t="shared" ca="1" si="14"/>
        <v/>
      </c>
      <c r="O212" s="11" t="str">
        <f t="shared" ca="1" si="15"/>
        <v/>
      </c>
      <c r="P212" s="5"/>
    </row>
    <row r="213" spans="1:16" x14ac:dyDescent="0.25">
      <c r="A213" s="5"/>
      <c r="B213" s="5"/>
      <c r="C213" s="6" t="str">
        <f>IFERROR(INDEX(Suppliers!$B$5:$B$104,MATCH(B213,Suppliers!$A$5:$A$104,0)),"")</f>
        <v/>
      </c>
      <c r="D213" s="5"/>
      <c r="E213" s="5"/>
      <c r="F213" s="7"/>
      <c r="G213" s="7"/>
      <c r="H213" s="8"/>
      <c r="I213" s="9"/>
      <c r="J213" s="10" t="str">
        <f t="shared" si="12"/>
        <v/>
      </c>
      <c r="K213" s="11" t="str">
        <f>IF(A213="","",SUMIF(Receipts!$B$5:$B$510,A213,Receipts!$D$5:$D$510))</f>
        <v/>
      </c>
      <c r="L213" s="11" t="str">
        <f t="shared" si="13"/>
        <v/>
      </c>
      <c r="M213" s="12" t="str">
        <f>IF(COUNTIF(Receipts!$B$5:$B$510,A213)=0,"",IFERROR(LOOKUP(2,1/(Receipts!$B$5:$B$510=A213),Receipts!$C$5:$C$510),""))</f>
        <v/>
      </c>
      <c r="N213" s="6" t="str">
        <f t="shared" ca="1" si="14"/>
        <v/>
      </c>
      <c r="O213" s="11" t="str">
        <f t="shared" ca="1" si="15"/>
        <v/>
      </c>
      <c r="P213" s="5"/>
    </row>
    <row r="214" spans="1:16" x14ac:dyDescent="0.25">
      <c r="A214" s="5"/>
      <c r="B214" s="5"/>
      <c r="C214" s="6" t="str">
        <f>IFERROR(INDEX(Suppliers!$B$5:$B$104,MATCH(B214,Suppliers!$A$5:$A$104,0)),"")</f>
        <v/>
      </c>
      <c r="D214" s="5"/>
      <c r="E214" s="5"/>
      <c r="F214" s="7"/>
      <c r="G214" s="7"/>
      <c r="H214" s="8"/>
      <c r="I214" s="9"/>
      <c r="J214" s="10" t="str">
        <f t="shared" si="12"/>
        <v/>
      </c>
      <c r="K214" s="11" t="str">
        <f>IF(A214="","",SUMIF(Receipts!$B$5:$B$510,A214,Receipts!$D$5:$D$510))</f>
        <v/>
      </c>
      <c r="L214" s="11" t="str">
        <f t="shared" si="13"/>
        <v/>
      </c>
      <c r="M214" s="12" t="str">
        <f>IF(COUNTIF(Receipts!$B$5:$B$510,A214)=0,"",IFERROR(LOOKUP(2,1/(Receipts!$B$5:$B$510=A214),Receipts!$C$5:$C$510),""))</f>
        <v/>
      </c>
      <c r="N214" s="6" t="str">
        <f t="shared" ca="1" si="14"/>
        <v/>
      </c>
      <c r="O214" s="11" t="str">
        <f t="shared" ca="1" si="15"/>
        <v/>
      </c>
      <c r="P214" s="5"/>
    </row>
    <row r="215" spans="1:16" x14ac:dyDescent="0.25">
      <c r="A215" s="5"/>
      <c r="B215" s="5"/>
      <c r="C215" s="6" t="str">
        <f>IFERROR(INDEX(Suppliers!$B$5:$B$104,MATCH(B215,Suppliers!$A$5:$A$104,0)),"")</f>
        <v/>
      </c>
      <c r="D215" s="5"/>
      <c r="E215" s="5"/>
      <c r="F215" s="7"/>
      <c r="G215" s="7"/>
      <c r="H215" s="8"/>
      <c r="I215" s="9"/>
      <c r="J215" s="10" t="str">
        <f t="shared" si="12"/>
        <v/>
      </c>
      <c r="K215" s="11" t="str">
        <f>IF(A215="","",SUMIF(Receipts!$B$5:$B$510,A215,Receipts!$D$5:$D$510))</f>
        <v/>
      </c>
      <c r="L215" s="11" t="str">
        <f t="shared" si="13"/>
        <v/>
      </c>
      <c r="M215" s="12" t="str">
        <f>IF(COUNTIF(Receipts!$B$5:$B$510,A215)=0,"",IFERROR(LOOKUP(2,1/(Receipts!$B$5:$B$510=A215),Receipts!$C$5:$C$510),""))</f>
        <v/>
      </c>
      <c r="N215" s="6" t="str">
        <f t="shared" ca="1" si="14"/>
        <v/>
      </c>
      <c r="O215" s="11" t="str">
        <f t="shared" ca="1" si="15"/>
        <v/>
      </c>
      <c r="P215" s="5"/>
    </row>
    <row r="216" spans="1:16" x14ac:dyDescent="0.25">
      <c r="A216" s="5"/>
      <c r="B216" s="5"/>
      <c r="C216" s="6" t="str">
        <f>IFERROR(INDEX(Suppliers!$B$5:$B$104,MATCH(B216,Suppliers!$A$5:$A$104,0)),"")</f>
        <v/>
      </c>
      <c r="D216" s="5"/>
      <c r="E216" s="5"/>
      <c r="F216" s="7"/>
      <c r="G216" s="7"/>
      <c r="H216" s="8"/>
      <c r="I216" s="9"/>
      <c r="J216" s="10" t="str">
        <f t="shared" si="12"/>
        <v/>
      </c>
      <c r="K216" s="11" t="str">
        <f>IF(A216="","",SUMIF(Receipts!$B$5:$B$510,A216,Receipts!$D$5:$D$510))</f>
        <v/>
      </c>
      <c r="L216" s="11" t="str">
        <f t="shared" si="13"/>
        <v/>
      </c>
      <c r="M216" s="12" t="str">
        <f>IF(COUNTIF(Receipts!$B$5:$B$510,A216)=0,"",IFERROR(LOOKUP(2,1/(Receipts!$B$5:$B$510=A216),Receipts!$C$5:$C$510),""))</f>
        <v/>
      </c>
      <c r="N216" s="6" t="str">
        <f t="shared" ca="1" si="14"/>
        <v/>
      </c>
      <c r="O216" s="11" t="str">
        <f t="shared" ca="1" si="15"/>
        <v/>
      </c>
      <c r="P216" s="5"/>
    </row>
    <row r="217" spans="1:16" x14ac:dyDescent="0.25">
      <c r="A217" s="5"/>
      <c r="B217" s="5"/>
      <c r="C217" s="6" t="str">
        <f>IFERROR(INDEX(Suppliers!$B$5:$B$104,MATCH(B217,Suppliers!$A$5:$A$104,0)),"")</f>
        <v/>
      </c>
      <c r="D217" s="5"/>
      <c r="E217" s="5"/>
      <c r="F217" s="7"/>
      <c r="G217" s="7"/>
      <c r="H217" s="8"/>
      <c r="I217" s="9"/>
      <c r="J217" s="10" t="str">
        <f t="shared" si="12"/>
        <v/>
      </c>
      <c r="K217" s="11" t="str">
        <f>IF(A217="","",SUMIF(Receipts!$B$5:$B$510,A217,Receipts!$D$5:$D$510))</f>
        <v/>
      </c>
      <c r="L217" s="11" t="str">
        <f t="shared" si="13"/>
        <v/>
      </c>
      <c r="M217" s="12" t="str">
        <f>IF(COUNTIF(Receipts!$B$5:$B$510,A217)=0,"",IFERROR(LOOKUP(2,1/(Receipts!$B$5:$B$510=A217),Receipts!$C$5:$C$510),""))</f>
        <v/>
      </c>
      <c r="N217" s="6" t="str">
        <f t="shared" ca="1" si="14"/>
        <v/>
      </c>
      <c r="O217" s="11" t="str">
        <f t="shared" ca="1" si="15"/>
        <v/>
      </c>
      <c r="P217" s="5"/>
    </row>
    <row r="218" spans="1:16" x14ac:dyDescent="0.25">
      <c r="A218" s="5"/>
      <c r="B218" s="5"/>
      <c r="C218" s="6" t="str">
        <f>IFERROR(INDEX(Suppliers!$B$5:$B$104,MATCH(B218,Suppliers!$A$5:$A$104,0)),"")</f>
        <v/>
      </c>
      <c r="D218" s="5"/>
      <c r="E218" s="5"/>
      <c r="F218" s="7"/>
      <c r="G218" s="7"/>
      <c r="H218" s="8"/>
      <c r="I218" s="9"/>
      <c r="J218" s="10" t="str">
        <f t="shared" si="12"/>
        <v/>
      </c>
      <c r="K218" s="11" t="str">
        <f>IF(A218="","",SUMIF(Receipts!$B$5:$B$510,A218,Receipts!$D$5:$D$510))</f>
        <v/>
      </c>
      <c r="L218" s="11" t="str">
        <f t="shared" si="13"/>
        <v/>
      </c>
      <c r="M218" s="12" t="str">
        <f>IF(COUNTIF(Receipts!$B$5:$B$510,A218)=0,"",IFERROR(LOOKUP(2,1/(Receipts!$B$5:$B$510=A218),Receipts!$C$5:$C$510),""))</f>
        <v/>
      </c>
      <c r="N218" s="6" t="str">
        <f t="shared" ca="1" si="14"/>
        <v/>
      </c>
      <c r="O218" s="11" t="str">
        <f t="shared" ca="1" si="15"/>
        <v/>
      </c>
      <c r="P218" s="5"/>
    </row>
    <row r="219" spans="1:16" x14ac:dyDescent="0.25">
      <c r="A219" s="5"/>
      <c r="B219" s="5"/>
      <c r="C219" s="6" t="str">
        <f>IFERROR(INDEX(Suppliers!$B$5:$B$104,MATCH(B219,Suppliers!$A$5:$A$104,0)),"")</f>
        <v/>
      </c>
      <c r="D219" s="5"/>
      <c r="E219" s="5"/>
      <c r="F219" s="7"/>
      <c r="G219" s="7"/>
      <c r="H219" s="8"/>
      <c r="I219" s="9"/>
      <c r="J219" s="10" t="str">
        <f t="shared" si="12"/>
        <v/>
      </c>
      <c r="K219" s="11" t="str">
        <f>IF(A219="","",SUMIF(Receipts!$B$5:$B$510,A219,Receipts!$D$5:$D$510))</f>
        <v/>
      </c>
      <c r="L219" s="11" t="str">
        <f t="shared" si="13"/>
        <v/>
      </c>
      <c r="M219" s="12" t="str">
        <f>IF(COUNTIF(Receipts!$B$5:$B$510,A219)=0,"",IFERROR(LOOKUP(2,1/(Receipts!$B$5:$B$510=A219),Receipts!$C$5:$C$510),""))</f>
        <v/>
      </c>
      <c r="N219" s="6" t="str">
        <f t="shared" ca="1" si="14"/>
        <v/>
      </c>
      <c r="O219" s="11" t="str">
        <f t="shared" ca="1" si="15"/>
        <v/>
      </c>
      <c r="P219" s="5"/>
    </row>
    <row r="220" spans="1:16" x14ac:dyDescent="0.25">
      <c r="A220" s="5"/>
      <c r="B220" s="5"/>
      <c r="C220" s="6" t="str">
        <f>IFERROR(INDEX(Suppliers!$B$5:$B$104,MATCH(B220,Suppliers!$A$5:$A$104,0)),"")</f>
        <v/>
      </c>
      <c r="D220" s="5"/>
      <c r="E220" s="5"/>
      <c r="F220" s="7"/>
      <c r="G220" s="7"/>
      <c r="H220" s="8"/>
      <c r="I220" s="9"/>
      <c r="J220" s="10" t="str">
        <f t="shared" si="12"/>
        <v/>
      </c>
      <c r="K220" s="11" t="str">
        <f>IF(A220="","",SUMIF(Receipts!$B$5:$B$510,A220,Receipts!$D$5:$D$510))</f>
        <v/>
      </c>
      <c r="L220" s="11" t="str">
        <f t="shared" si="13"/>
        <v/>
      </c>
      <c r="M220" s="12" t="str">
        <f>IF(COUNTIF(Receipts!$B$5:$B$510,A220)=0,"",IFERROR(LOOKUP(2,1/(Receipts!$B$5:$B$510=A220),Receipts!$C$5:$C$510),""))</f>
        <v/>
      </c>
      <c r="N220" s="6" t="str">
        <f t="shared" ca="1" si="14"/>
        <v/>
      </c>
      <c r="O220" s="11" t="str">
        <f t="shared" ca="1" si="15"/>
        <v/>
      </c>
      <c r="P220" s="5"/>
    </row>
    <row r="221" spans="1:16" x14ac:dyDescent="0.25">
      <c r="A221" s="5"/>
      <c r="B221" s="5"/>
      <c r="C221" s="6" t="str">
        <f>IFERROR(INDEX(Suppliers!$B$5:$B$104,MATCH(B221,Suppliers!$A$5:$A$104,0)),"")</f>
        <v/>
      </c>
      <c r="D221" s="5"/>
      <c r="E221" s="5"/>
      <c r="F221" s="7"/>
      <c r="G221" s="7"/>
      <c r="H221" s="8"/>
      <c r="I221" s="9"/>
      <c r="J221" s="10" t="str">
        <f t="shared" si="12"/>
        <v/>
      </c>
      <c r="K221" s="11" t="str">
        <f>IF(A221="","",SUMIF(Receipts!$B$5:$B$510,A221,Receipts!$D$5:$D$510))</f>
        <v/>
      </c>
      <c r="L221" s="11" t="str">
        <f t="shared" si="13"/>
        <v/>
      </c>
      <c r="M221" s="12" t="str">
        <f>IF(COUNTIF(Receipts!$B$5:$B$510,A221)=0,"",IFERROR(LOOKUP(2,1/(Receipts!$B$5:$B$510=A221),Receipts!$C$5:$C$510),""))</f>
        <v/>
      </c>
      <c r="N221" s="6" t="str">
        <f t="shared" ca="1" si="14"/>
        <v/>
      </c>
      <c r="O221" s="11" t="str">
        <f t="shared" ca="1" si="15"/>
        <v/>
      </c>
      <c r="P221" s="5"/>
    </row>
    <row r="222" spans="1:16" x14ac:dyDescent="0.25">
      <c r="A222" s="5"/>
      <c r="B222" s="5"/>
      <c r="C222" s="6" t="str">
        <f>IFERROR(INDEX(Suppliers!$B$5:$B$104,MATCH(B222,Suppliers!$A$5:$A$104,0)),"")</f>
        <v/>
      </c>
      <c r="D222" s="5"/>
      <c r="E222" s="5"/>
      <c r="F222" s="7"/>
      <c r="G222" s="7"/>
      <c r="H222" s="8"/>
      <c r="I222" s="9"/>
      <c r="J222" s="10" t="str">
        <f t="shared" si="12"/>
        <v/>
      </c>
      <c r="K222" s="11" t="str">
        <f>IF(A222="","",SUMIF(Receipts!$B$5:$B$510,A222,Receipts!$D$5:$D$510))</f>
        <v/>
      </c>
      <c r="L222" s="11" t="str">
        <f t="shared" si="13"/>
        <v/>
      </c>
      <c r="M222" s="12" t="str">
        <f>IF(COUNTIF(Receipts!$B$5:$B$510,A222)=0,"",IFERROR(LOOKUP(2,1/(Receipts!$B$5:$B$510=A222),Receipts!$C$5:$C$510),""))</f>
        <v/>
      </c>
      <c r="N222" s="6" t="str">
        <f t="shared" ca="1" si="14"/>
        <v/>
      </c>
      <c r="O222" s="11" t="str">
        <f t="shared" ca="1" si="15"/>
        <v/>
      </c>
      <c r="P222" s="5"/>
    </row>
    <row r="223" spans="1:16" x14ac:dyDescent="0.25">
      <c r="A223" s="5"/>
      <c r="B223" s="5"/>
      <c r="C223" s="6" t="str">
        <f>IFERROR(INDEX(Suppliers!$B$5:$B$104,MATCH(B223,Suppliers!$A$5:$A$104,0)),"")</f>
        <v/>
      </c>
      <c r="D223" s="5"/>
      <c r="E223" s="5"/>
      <c r="F223" s="7"/>
      <c r="G223" s="7"/>
      <c r="H223" s="8"/>
      <c r="I223" s="9"/>
      <c r="J223" s="10" t="str">
        <f t="shared" si="12"/>
        <v/>
      </c>
      <c r="K223" s="11" t="str">
        <f>IF(A223="","",SUMIF(Receipts!$B$5:$B$510,A223,Receipts!$D$5:$D$510))</f>
        <v/>
      </c>
      <c r="L223" s="11" t="str">
        <f t="shared" si="13"/>
        <v/>
      </c>
      <c r="M223" s="12" t="str">
        <f>IF(COUNTIF(Receipts!$B$5:$B$510,A223)=0,"",IFERROR(LOOKUP(2,1/(Receipts!$B$5:$B$510=A223),Receipts!$C$5:$C$510),""))</f>
        <v/>
      </c>
      <c r="N223" s="6" t="str">
        <f t="shared" ca="1" si="14"/>
        <v/>
      </c>
      <c r="O223" s="11" t="str">
        <f t="shared" ca="1" si="15"/>
        <v/>
      </c>
      <c r="P223" s="5"/>
    </row>
    <row r="224" spans="1:16" x14ac:dyDescent="0.25">
      <c r="A224" s="5"/>
      <c r="B224" s="5"/>
      <c r="C224" s="6" t="str">
        <f>IFERROR(INDEX(Suppliers!$B$5:$B$104,MATCH(B224,Suppliers!$A$5:$A$104,0)),"")</f>
        <v/>
      </c>
      <c r="D224" s="5"/>
      <c r="E224" s="5"/>
      <c r="F224" s="7"/>
      <c r="G224" s="7"/>
      <c r="H224" s="8"/>
      <c r="I224" s="9"/>
      <c r="J224" s="10" t="str">
        <f t="shared" si="12"/>
        <v/>
      </c>
      <c r="K224" s="11" t="str">
        <f>IF(A224="","",SUMIF(Receipts!$B$5:$B$510,A224,Receipts!$D$5:$D$510))</f>
        <v/>
      </c>
      <c r="L224" s="11" t="str">
        <f t="shared" si="13"/>
        <v/>
      </c>
      <c r="M224" s="12" t="str">
        <f>IF(COUNTIF(Receipts!$B$5:$B$510,A224)=0,"",IFERROR(LOOKUP(2,1/(Receipts!$B$5:$B$510=A224),Receipts!$C$5:$C$510),""))</f>
        <v/>
      </c>
      <c r="N224" s="6" t="str">
        <f t="shared" ca="1" si="14"/>
        <v/>
      </c>
      <c r="O224" s="11" t="str">
        <f t="shared" ca="1" si="15"/>
        <v/>
      </c>
      <c r="P224" s="5"/>
    </row>
    <row r="225" spans="1:16" x14ac:dyDescent="0.25">
      <c r="A225" s="5"/>
      <c r="B225" s="5"/>
      <c r="C225" s="6" t="str">
        <f>IFERROR(INDEX(Suppliers!$B$5:$B$104,MATCH(B225,Suppliers!$A$5:$A$104,0)),"")</f>
        <v/>
      </c>
      <c r="D225" s="5"/>
      <c r="E225" s="5"/>
      <c r="F225" s="7"/>
      <c r="G225" s="7"/>
      <c r="H225" s="8"/>
      <c r="I225" s="9"/>
      <c r="J225" s="10" t="str">
        <f t="shared" si="12"/>
        <v/>
      </c>
      <c r="K225" s="11" t="str">
        <f>IF(A225="","",SUMIF(Receipts!$B$5:$B$510,A225,Receipts!$D$5:$D$510))</f>
        <v/>
      </c>
      <c r="L225" s="11" t="str">
        <f t="shared" si="13"/>
        <v/>
      </c>
      <c r="M225" s="12" t="str">
        <f>IF(COUNTIF(Receipts!$B$5:$B$510,A225)=0,"",IFERROR(LOOKUP(2,1/(Receipts!$B$5:$B$510=A225),Receipts!$C$5:$C$510),""))</f>
        <v/>
      </c>
      <c r="N225" s="6" t="str">
        <f t="shared" ca="1" si="14"/>
        <v/>
      </c>
      <c r="O225" s="11" t="str">
        <f t="shared" ca="1" si="15"/>
        <v/>
      </c>
      <c r="P225" s="5"/>
    </row>
    <row r="226" spans="1:16" x14ac:dyDescent="0.25">
      <c r="A226" s="5"/>
      <c r="B226" s="5"/>
      <c r="C226" s="6" t="str">
        <f>IFERROR(INDEX(Suppliers!$B$5:$B$104,MATCH(B226,Suppliers!$A$5:$A$104,0)),"")</f>
        <v/>
      </c>
      <c r="D226" s="5"/>
      <c r="E226" s="5"/>
      <c r="F226" s="7"/>
      <c r="G226" s="7"/>
      <c r="H226" s="8"/>
      <c r="I226" s="9"/>
      <c r="J226" s="10" t="str">
        <f t="shared" si="12"/>
        <v/>
      </c>
      <c r="K226" s="11" t="str">
        <f>IF(A226="","",SUMIF(Receipts!$B$5:$B$510,A226,Receipts!$D$5:$D$510))</f>
        <v/>
      </c>
      <c r="L226" s="11" t="str">
        <f t="shared" si="13"/>
        <v/>
      </c>
      <c r="M226" s="12" t="str">
        <f>IF(COUNTIF(Receipts!$B$5:$B$510,A226)=0,"",IFERROR(LOOKUP(2,1/(Receipts!$B$5:$B$510=A226),Receipts!$C$5:$C$510),""))</f>
        <v/>
      </c>
      <c r="N226" s="6" t="str">
        <f t="shared" ca="1" si="14"/>
        <v/>
      </c>
      <c r="O226" s="11" t="str">
        <f t="shared" ca="1" si="15"/>
        <v/>
      </c>
      <c r="P226" s="5"/>
    </row>
    <row r="227" spans="1:16" x14ac:dyDescent="0.25">
      <c r="A227" s="5"/>
      <c r="B227" s="5"/>
      <c r="C227" s="6" t="str">
        <f>IFERROR(INDEX(Suppliers!$B$5:$B$104,MATCH(B227,Suppliers!$A$5:$A$104,0)),"")</f>
        <v/>
      </c>
      <c r="D227" s="5"/>
      <c r="E227" s="5"/>
      <c r="F227" s="7"/>
      <c r="G227" s="7"/>
      <c r="H227" s="8"/>
      <c r="I227" s="9"/>
      <c r="J227" s="10" t="str">
        <f t="shared" si="12"/>
        <v/>
      </c>
      <c r="K227" s="11" t="str">
        <f>IF(A227="","",SUMIF(Receipts!$B$5:$B$510,A227,Receipts!$D$5:$D$510))</f>
        <v/>
      </c>
      <c r="L227" s="11" t="str">
        <f t="shared" si="13"/>
        <v/>
      </c>
      <c r="M227" s="12" t="str">
        <f>IF(COUNTIF(Receipts!$B$5:$B$510,A227)=0,"",IFERROR(LOOKUP(2,1/(Receipts!$B$5:$B$510=A227),Receipts!$C$5:$C$510),""))</f>
        <v/>
      </c>
      <c r="N227" s="6" t="str">
        <f t="shared" ca="1" si="14"/>
        <v/>
      </c>
      <c r="O227" s="11" t="str">
        <f t="shared" ca="1" si="15"/>
        <v/>
      </c>
      <c r="P227" s="5"/>
    </row>
    <row r="228" spans="1:16" x14ac:dyDescent="0.25">
      <c r="A228" s="5"/>
      <c r="B228" s="5"/>
      <c r="C228" s="6" t="str">
        <f>IFERROR(INDEX(Suppliers!$B$5:$B$104,MATCH(B228,Suppliers!$A$5:$A$104,0)),"")</f>
        <v/>
      </c>
      <c r="D228" s="5"/>
      <c r="E228" s="5"/>
      <c r="F228" s="7"/>
      <c r="G228" s="7"/>
      <c r="H228" s="8"/>
      <c r="I228" s="9"/>
      <c r="J228" s="10" t="str">
        <f t="shared" si="12"/>
        <v/>
      </c>
      <c r="K228" s="11" t="str">
        <f>IF(A228="","",SUMIF(Receipts!$B$5:$B$510,A228,Receipts!$D$5:$D$510))</f>
        <v/>
      </c>
      <c r="L228" s="11" t="str">
        <f t="shared" si="13"/>
        <v/>
      </c>
      <c r="M228" s="12" t="str">
        <f>IF(COUNTIF(Receipts!$B$5:$B$510,A228)=0,"",IFERROR(LOOKUP(2,1/(Receipts!$B$5:$B$510=A228),Receipts!$C$5:$C$510),""))</f>
        <v/>
      </c>
      <c r="N228" s="6" t="str">
        <f t="shared" ca="1" si="14"/>
        <v/>
      </c>
      <c r="O228" s="11" t="str">
        <f t="shared" ca="1" si="15"/>
        <v/>
      </c>
      <c r="P228" s="5"/>
    </row>
    <row r="229" spans="1:16" x14ac:dyDescent="0.25">
      <c r="A229" s="5"/>
      <c r="B229" s="5"/>
      <c r="C229" s="6" t="str">
        <f>IFERROR(INDEX(Suppliers!$B$5:$B$104,MATCH(B229,Suppliers!$A$5:$A$104,0)),"")</f>
        <v/>
      </c>
      <c r="D229" s="5"/>
      <c r="E229" s="5"/>
      <c r="F229" s="7"/>
      <c r="G229" s="7"/>
      <c r="H229" s="8"/>
      <c r="I229" s="9"/>
      <c r="J229" s="10" t="str">
        <f t="shared" si="12"/>
        <v/>
      </c>
      <c r="K229" s="11" t="str">
        <f>IF(A229="","",SUMIF(Receipts!$B$5:$B$510,A229,Receipts!$D$5:$D$510))</f>
        <v/>
      </c>
      <c r="L229" s="11" t="str">
        <f t="shared" si="13"/>
        <v/>
      </c>
      <c r="M229" s="12" t="str">
        <f>IF(COUNTIF(Receipts!$B$5:$B$510,A229)=0,"",IFERROR(LOOKUP(2,1/(Receipts!$B$5:$B$510=A229),Receipts!$C$5:$C$510),""))</f>
        <v/>
      </c>
      <c r="N229" s="6" t="str">
        <f t="shared" ca="1" si="14"/>
        <v/>
      </c>
      <c r="O229" s="11" t="str">
        <f t="shared" ca="1" si="15"/>
        <v/>
      </c>
      <c r="P229" s="5"/>
    </row>
    <row r="230" spans="1:16" x14ac:dyDescent="0.25">
      <c r="A230" s="5"/>
      <c r="B230" s="5"/>
      <c r="C230" s="6" t="str">
        <f>IFERROR(INDEX(Suppliers!$B$5:$B$104,MATCH(B230,Suppliers!$A$5:$A$104,0)),"")</f>
        <v/>
      </c>
      <c r="D230" s="5"/>
      <c r="E230" s="5"/>
      <c r="F230" s="7"/>
      <c r="G230" s="7"/>
      <c r="H230" s="8"/>
      <c r="I230" s="9"/>
      <c r="J230" s="10" t="str">
        <f t="shared" si="12"/>
        <v/>
      </c>
      <c r="K230" s="11" t="str">
        <f>IF(A230="","",SUMIF(Receipts!$B$5:$B$510,A230,Receipts!$D$5:$D$510))</f>
        <v/>
      </c>
      <c r="L230" s="11" t="str">
        <f t="shared" si="13"/>
        <v/>
      </c>
      <c r="M230" s="12" t="str">
        <f>IF(COUNTIF(Receipts!$B$5:$B$510,A230)=0,"",IFERROR(LOOKUP(2,1/(Receipts!$B$5:$B$510=A230),Receipts!$C$5:$C$510),""))</f>
        <v/>
      </c>
      <c r="N230" s="6" t="str">
        <f t="shared" ca="1" si="14"/>
        <v/>
      </c>
      <c r="O230" s="11" t="str">
        <f t="shared" ca="1" si="15"/>
        <v/>
      </c>
      <c r="P230" s="5"/>
    </row>
    <row r="231" spans="1:16" x14ac:dyDescent="0.25">
      <c r="A231" s="5"/>
      <c r="B231" s="5"/>
      <c r="C231" s="6" t="str">
        <f>IFERROR(INDEX(Suppliers!$B$5:$B$104,MATCH(B231,Suppliers!$A$5:$A$104,0)),"")</f>
        <v/>
      </c>
      <c r="D231" s="5"/>
      <c r="E231" s="5"/>
      <c r="F231" s="7"/>
      <c r="G231" s="7"/>
      <c r="H231" s="8"/>
      <c r="I231" s="9"/>
      <c r="J231" s="10" t="str">
        <f t="shared" si="12"/>
        <v/>
      </c>
      <c r="K231" s="11" t="str">
        <f>IF(A231="","",SUMIF(Receipts!$B$5:$B$510,A231,Receipts!$D$5:$D$510))</f>
        <v/>
      </c>
      <c r="L231" s="11" t="str">
        <f t="shared" si="13"/>
        <v/>
      </c>
      <c r="M231" s="12" t="str">
        <f>IF(COUNTIF(Receipts!$B$5:$B$510,A231)=0,"",IFERROR(LOOKUP(2,1/(Receipts!$B$5:$B$510=A231),Receipts!$C$5:$C$510),""))</f>
        <v/>
      </c>
      <c r="N231" s="6" t="str">
        <f t="shared" ca="1" si="14"/>
        <v/>
      </c>
      <c r="O231" s="11" t="str">
        <f t="shared" ca="1" si="15"/>
        <v/>
      </c>
      <c r="P231" s="5"/>
    </row>
    <row r="232" spans="1:16" x14ac:dyDescent="0.25">
      <c r="A232" s="5"/>
      <c r="B232" s="5"/>
      <c r="C232" s="6" t="str">
        <f>IFERROR(INDEX(Suppliers!$B$5:$B$104,MATCH(B232,Suppliers!$A$5:$A$104,0)),"")</f>
        <v/>
      </c>
      <c r="D232" s="5"/>
      <c r="E232" s="5"/>
      <c r="F232" s="7"/>
      <c r="G232" s="7"/>
      <c r="H232" s="8"/>
      <c r="I232" s="9"/>
      <c r="J232" s="10" t="str">
        <f t="shared" si="12"/>
        <v/>
      </c>
      <c r="K232" s="11" t="str">
        <f>IF(A232="","",SUMIF(Receipts!$B$5:$B$510,A232,Receipts!$D$5:$D$510))</f>
        <v/>
      </c>
      <c r="L232" s="11" t="str">
        <f t="shared" si="13"/>
        <v/>
      </c>
      <c r="M232" s="12" t="str">
        <f>IF(COUNTIF(Receipts!$B$5:$B$510,A232)=0,"",IFERROR(LOOKUP(2,1/(Receipts!$B$5:$B$510=A232),Receipts!$C$5:$C$510),""))</f>
        <v/>
      </c>
      <c r="N232" s="6" t="str">
        <f t="shared" ca="1" si="14"/>
        <v/>
      </c>
      <c r="O232" s="11" t="str">
        <f t="shared" ca="1" si="15"/>
        <v/>
      </c>
      <c r="P232" s="5"/>
    </row>
    <row r="233" spans="1:16" x14ac:dyDescent="0.25">
      <c r="A233" s="5"/>
      <c r="B233" s="5"/>
      <c r="C233" s="6" t="str">
        <f>IFERROR(INDEX(Suppliers!$B$5:$B$104,MATCH(B233,Suppliers!$A$5:$A$104,0)),"")</f>
        <v/>
      </c>
      <c r="D233" s="5"/>
      <c r="E233" s="5"/>
      <c r="F233" s="7"/>
      <c r="G233" s="7"/>
      <c r="H233" s="8"/>
      <c r="I233" s="9"/>
      <c r="J233" s="10" t="str">
        <f t="shared" si="12"/>
        <v/>
      </c>
      <c r="K233" s="11" t="str">
        <f>IF(A233="","",SUMIF(Receipts!$B$5:$B$510,A233,Receipts!$D$5:$D$510))</f>
        <v/>
      </c>
      <c r="L233" s="11" t="str">
        <f t="shared" si="13"/>
        <v/>
      </c>
      <c r="M233" s="12" t="str">
        <f>IF(COUNTIF(Receipts!$B$5:$B$510,A233)=0,"",IFERROR(LOOKUP(2,1/(Receipts!$B$5:$B$510=A233),Receipts!$C$5:$C$510),""))</f>
        <v/>
      </c>
      <c r="N233" s="6" t="str">
        <f t="shared" ca="1" si="14"/>
        <v/>
      </c>
      <c r="O233" s="11" t="str">
        <f t="shared" ca="1" si="15"/>
        <v/>
      </c>
      <c r="P233" s="5"/>
    </row>
    <row r="234" spans="1:16" x14ac:dyDescent="0.25">
      <c r="A234" s="5"/>
      <c r="B234" s="5"/>
      <c r="C234" s="6" t="str">
        <f>IFERROR(INDEX(Suppliers!$B$5:$B$104,MATCH(B234,Suppliers!$A$5:$A$104,0)),"")</f>
        <v/>
      </c>
      <c r="D234" s="5"/>
      <c r="E234" s="5"/>
      <c r="F234" s="7"/>
      <c r="G234" s="7"/>
      <c r="H234" s="8"/>
      <c r="I234" s="9"/>
      <c r="J234" s="10" t="str">
        <f t="shared" si="12"/>
        <v/>
      </c>
      <c r="K234" s="11" t="str">
        <f>IF(A234="","",SUMIF(Receipts!$B$5:$B$510,A234,Receipts!$D$5:$D$510))</f>
        <v/>
      </c>
      <c r="L234" s="11" t="str">
        <f t="shared" si="13"/>
        <v/>
      </c>
      <c r="M234" s="12" t="str">
        <f>IF(COUNTIF(Receipts!$B$5:$B$510,A234)=0,"",IFERROR(LOOKUP(2,1/(Receipts!$B$5:$B$510=A234),Receipts!$C$5:$C$510),""))</f>
        <v/>
      </c>
      <c r="N234" s="6" t="str">
        <f t="shared" ca="1" si="14"/>
        <v/>
      </c>
      <c r="O234" s="11" t="str">
        <f t="shared" ca="1" si="15"/>
        <v/>
      </c>
      <c r="P234" s="5"/>
    </row>
    <row r="235" spans="1:16" x14ac:dyDescent="0.25">
      <c r="A235" s="5"/>
      <c r="B235" s="5"/>
      <c r="C235" s="6" t="str">
        <f>IFERROR(INDEX(Suppliers!$B$5:$B$104,MATCH(B235,Suppliers!$A$5:$A$104,0)),"")</f>
        <v/>
      </c>
      <c r="D235" s="5"/>
      <c r="E235" s="5"/>
      <c r="F235" s="7"/>
      <c r="G235" s="7"/>
      <c r="H235" s="8"/>
      <c r="I235" s="9"/>
      <c r="J235" s="10" t="str">
        <f t="shared" si="12"/>
        <v/>
      </c>
      <c r="K235" s="11" t="str">
        <f>IF(A235="","",SUMIF(Receipts!$B$5:$B$510,A235,Receipts!$D$5:$D$510))</f>
        <v/>
      </c>
      <c r="L235" s="11" t="str">
        <f t="shared" si="13"/>
        <v/>
      </c>
      <c r="M235" s="12" t="str">
        <f>IF(COUNTIF(Receipts!$B$5:$B$510,A235)=0,"",IFERROR(LOOKUP(2,1/(Receipts!$B$5:$B$510=A235),Receipts!$C$5:$C$510),""))</f>
        <v/>
      </c>
      <c r="N235" s="6" t="str">
        <f t="shared" ca="1" si="14"/>
        <v/>
      </c>
      <c r="O235" s="11" t="str">
        <f t="shared" ca="1" si="15"/>
        <v/>
      </c>
      <c r="P235" s="5"/>
    </row>
    <row r="236" spans="1:16" x14ac:dyDescent="0.25">
      <c r="A236" s="5"/>
      <c r="B236" s="5"/>
      <c r="C236" s="6" t="str">
        <f>IFERROR(INDEX(Suppliers!$B$5:$B$104,MATCH(B236,Suppliers!$A$5:$A$104,0)),"")</f>
        <v/>
      </c>
      <c r="D236" s="5"/>
      <c r="E236" s="5"/>
      <c r="F236" s="7"/>
      <c r="G236" s="7"/>
      <c r="H236" s="8"/>
      <c r="I236" s="9"/>
      <c r="J236" s="10" t="str">
        <f t="shared" si="12"/>
        <v/>
      </c>
      <c r="K236" s="11" t="str">
        <f>IF(A236="","",SUMIF(Receipts!$B$5:$B$510,A236,Receipts!$D$5:$D$510))</f>
        <v/>
      </c>
      <c r="L236" s="11" t="str">
        <f t="shared" si="13"/>
        <v/>
      </c>
      <c r="M236" s="12" t="str">
        <f>IF(COUNTIF(Receipts!$B$5:$B$510,A236)=0,"",IFERROR(LOOKUP(2,1/(Receipts!$B$5:$B$510=A236),Receipts!$C$5:$C$510),""))</f>
        <v/>
      </c>
      <c r="N236" s="6" t="str">
        <f t="shared" ca="1" si="14"/>
        <v/>
      </c>
      <c r="O236" s="11" t="str">
        <f t="shared" ca="1" si="15"/>
        <v/>
      </c>
      <c r="P236" s="5"/>
    </row>
    <row r="237" spans="1:16" x14ac:dyDescent="0.25">
      <c r="A237" s="5"/>
      <c r="B237" s="5"/>
      <c r="C237" s="6" t="str">
        <f>IFERROR(INDEX(Suppliers!$B$5:$B$104,MATCH(B237,Suppliers!$A$5:$A$104,0)),"")</f>
        <v/>
      </c>
      <c r="D237" s="5"/>
      <c r="E237" s="5"/>
      <c r="F237" s="7"/>
      <c r="G237" s="7"/>
      <c r="H237" s="8"/>
      <c r="I237" s="9"/>
      <c r="J237" s="10" t="str">
        <f t="shared" si="12"/>
        <v/>
      </c>
      <c r="K237" s="11" t="str">
        <f>IF(A237="","",SUMIF(Receipts!$B$5:$B$510,A237,Receipts!$D$5:$D$510))</f>
        <v/>
      </c>
      <c r="L237" s="11" t="str">
        <f t="shared" si="13"/>
        <v/>
      </c>
      <c r="M237" s="12" t="str">
        <f>IF(COUNTIF(Receipts!$B$5:$B$510,A237)=0,"",IFERROR(LOOKUP(2,1/(Receipts!$B$5:$B$510=A237),Receipts!$C$5:$C$510),""))</f>
        <v/>
      </c>
      <c r="N237" s="6" t="str">
        <f t="shared" ca="1" si="14"/>
        <v/>
      </c>
      <c r="O237" s="11" t="str">
        <f t="shared" ca="1" si="15"/>
        <v/>
      </c>
      <c r="P237" s="5"/>
    </row>
    <row r="238" spans="1:16" x14ac:dyDescent="0.25">
      <c r="A238" s="5"/>
      <c r="B238" s="5"/>
      <c r="C238" s="6" t="str">
        <f>IFERROR(INDEX(Suppliers!$B$5:$B$104,MATCH(B238,Suppliers!$A$5:$A$104,0)),"")</f>
        <v/>
      </c>
      <c r="D238" s="5"/>
      <c r="E238" s="5"/>
      <c r="F238" s="7"/>
      <c r="G238" s="7"/>
      <c r="H238" s="8"/>
      <c r="I238" s="9"/>
      <c r="J238" s="10" t="str">
        <f t="shared" si="12"/>
        <v/>
      </c>
      <c r="K238" s="11" t="str">
        <f>IF(A238="","",SUMIF(Receipts!$B$5:$B$510,A238,Receipts!$D$5:$D$510))</f>
        <v/>
      </c>
      <c r="L238" s="11" t="str">
        <f t="shared" si="13"/>
        <v/>
      </c>
      <c r="M238" s="12" t="str">
        <f>IF(COUNTIF(Receipts!$B$5:$B$510,A238)=0,"",IFERROR(LOOKUP(2,1/(Receipts!$B$5:$B$510=A238),Receipts!$C$5:$C$510),""))</f>
        <v/>
      </c>
      <c r="N238" s="6" t="str">
        <f t="shared" ca="1" si="14"/>
        <v/>
      </c>
      <c r="O238" s="11" t="str">
        <f t="shared" ca="1" si="15"/>
        <v/>
      </c>
      <c r="P238" s="5"/>
    </row>
    <row r="239" spans="1:16" x14ac:dyDescent="0.25">
      <c r="A239" s="5"/>
      <c r="B239" s="5"/>
      <c r="C239" s="6" t="str">
        <f>IFERROR(INDEX(Suppliers!$B$5:$B$104,MATCH(B239,Suppliers!$A$5:$A$104,0)),"")</f>
        <v/>
      </c>
      <c r="D239" s="5"/>
      <c r="E239" s="5"/>
      <c r="F239" s="7"/>
      <c r="G239" s="7"/>
      <c r="H239" s="8"/>
      <c r="I239" s="9"/>
      <c r="J239" s="10" t="str">
        <f t="shared" si="12"/>
        <v/>
      </c>
      <c r="K239" s="11" t="str">
        <f>IF(A239="","",SUMIF(Receipts!$B$5:$B$510,A239,Receipts!$D$5:$D$510))</f>
        <v/>
      </c>
      <c r="L239" s="11" t="str">
        <f t="shared" si="13"/>
        <v/>
      </c>
      <c r="M239" s="12" t="str">
        <f>IF(COUNTIF(Receipts!$B$5:$B$510,A239)=0,"",IFERROR(LOOKUP(2,1/(Receipts!$B$5:$B$510=A239),Receipts!$C$5:$C$510),""))</f>
        <v/>
      </c>
      <c r="N239" s="6" t="str">
        <f t="shared" ca="1" si="14"/>
        <v/>
      </c>
      <c r="O239" s="11" t="str">
        <f t="shared" ca="1" si="15"/>
        <v/>
      </c>
      <c r="P239" s="5"/>
    </row>
    <row r="240" spans="1:16" x14ac:dyDescent="0.25">
      <c r="A240" s="5"/>
      <c r="B240" s="5"/>
      <c r="C240" s="6" t="str">
        <f>IFERROR(INDEX(Suppliers!$B$5:$B$104,MATCH(B240,Suppliers!$A$5:$A$104,0)),"")</f>
        <v/>
      </c>
      <c r="D240" s="5"/>
      <c r="E240" s="5"/>
      <c r="F240" s="7"/>
      <c r="G240" s="7"/>
      <c r="H240" s="8"/>
      <c r="I240" s="9"/>
      <c r="J240" s="10" t="str">
        <f t="shared" si="12"/>
        <v/>
      </c>
      <c r="K240" s="11" t="str">
        <f>IF(A240="","",SUMIF(Receipts!$B$5:$B$510,A240,Receipts!$D$5:$D$510))</f>
        <v/>
      </c>
      <c r="L240" s="11" t="str">
        <f t="shared" si="13"/>
        <v/>
      </c>
      <c r="M240" s="12" t="str">
        <f>IF(COUNTIF(Receipts!$B$5:$B$510,A240)=0,"",IFERROR(LOOKUP(2,1/(Receipts!$B$5:$B$510=A240),Receipts!$C$5:$C$510),""))</f>
        <v/>
      </c>
      <c r="N240" s="6" t="str">
        <f t="shared" ca="1" si="14"/>
        <v/>
      </c>
      <c r="O240" s="11" t="str">
        <f t="shared" ca="1" si="15"/>
        <v/>
      </c>
      <c r="P240" s="5"/>
    </row>
    <row r="241" spans="1:16" x14ac:dyDescent="0.25">
      <c r="A241" s="5"/>
      <c r="B241" s="5"/>
      <c r="C241" s="6" t="str">
        <f>IFERROR(INDEX(Suppliers!$B$5:$B$104,MATCH(B241,Suppliers!$A$5:$A$104,0)),"")</f>
        <v/>
      </c>
      <c r="D241" s="5"/>
      <c r="E241" s="5"/>
      <c r="F241" s="7"/>
      <c r="G241" s="7"/>
      <c r="H241" s="8"/>
      <c r="I241" s="9"/>
      <c r="J241" s="10" t="str">
        <f t="shared" si="12"/>
        <v/>
      </c>
      <c r="K241" s="11" t="str">
        <f>IF(A241="","",SUMIF(Receipts!$B$5:$B$510,A241,Receipts!$D$5:$D$510))</f>
        <v/>
      </c>
      <c r="L241" s="11" t="str">
        <f t="shared" si="13"/>
        <v/>
      </c>
      <c r="M241" s="12" t="str">
        <f>IF(COUNTIF(Receipts!$B$5:$B$510,A241)=0,"",IFERROR(LOOKUP(2,1/(Receipts!$B$5:$B$510=A241),Receipts!$C$5:$C$510),""))</f>
        <v/>
      </c>
      <c r="N241" s="6" t="str">
        <f t="shared" ca="1" si="14"/>
        <v/>
      </c>
      <c r="O241" s="11" t="str">
        <f t="shared" ca="1" si="15"/>
        <v/>
      </c>
      <c r="P241" s="5"/>
    </row>
    <row r="242" spans="1:16" x14ac:dyDescent="0.25">
      <c r="A242" s="5"/>
      <c r="B242" s="5"/>
      <c r="C242" s="6" t="str">
        <f>IFERROR(INDEX(Suppliers!$B$5:$B$104,MATCH(B242,Suppliers!$A$5:$A$104,0)),"")</f>
        <v/>
      </c>
      <c r="D242" s="5"/>
      <c r="E242" s="5"/>
      <c r="F242" s="7"/>
      <c r="G242" s="7"/>
      <c r="H242" s="8"/>
      <c r="I242" s="9"/>
      <c r="J242" s="10" t="str">
        <f t="shared" si="12"/>
        <v/>
      </c>
      <c r="K242" s="11" t="str">
        <f>IF(A242="","",SUMIF(Receipts!$B$5:$B$510,A242,Receipts!$D$5:$D$510))</f>
        <v/>
      </c>
      <c r="L242" s="11" t="str">
        <f t="shared" si="13"/>
        <v/>
      </c>
      <c r="M242" s="12" t="str">
        <f>IF(COUNTIF(Receipts!$B$5:$B$510,A242)=0,"",IFERROR(LOOKUP(2,1/(Receipts!$B$5:$B$510=A242),Receipts!$C$5:$C$510),""))</f>
        <v/>
      </c>
      <c r="N242" s="6" t="str">
        <f t="shared" ca="1" si="14"/>
        <v/>
      </c>
      <c r="O242" s="11" t="str">
        <f t="shared" ca="1" si="15"/>
        <v/>
      </c>
      <c r="P242" s="5"/>
    </row>
    <row r="243" spans="1:16" x14ac:dyDescent="0.25">
      <c r="A243" s="5"/>
      <c r="B243" s="5"/>
      <c r="C243" s="6" t="str">
        <f>IFERROR(INDEX(Suppliers!$B$5:$B$104,MATCH(B243,Suppliers!$A$5:$A$104,0)),"")</f>
        <v/>
      </c>
      <c r="D243" s="5"/>
      <c r="E243" s="5"/>
      <c r="F243" s="7"/>
      <c r="G243" s="7"/>
      <c r="H243" s="8"/>
      <c r="I243" s="9"/>
      <c r="J243" s="10" t="str">
        <f t="shared" si="12"/>
        <v/>
      </c>
      <c r="K243" s="11" t="str">
        <f>IF(A243="","",SUMIF(Receipts!$B$5:$B$510,A243,Receipts!$D$5:$D$510))</f>
        <v/>
      </c>
      <c r="L243" s="11" t="str">
        <f t="shared" si="13"/>
        <v/>
      </c>
      <c r="M243" s="12" t="str">
        <f>IF(COUNTIF(Receipts!$B$5:$B$510,A243)=0,"",IFERROR(LOOKUP(2,1/(Receipts!$B$5:$B$510=A243),Receipts!$C$5:$C$510),""))</f>
        <v/>
      </c>
      <c r="N243" s="6" t="str">
        <f t="shared" ca="1" si="14"/>
        <v/>
      </c>
      <c r="O243" s="11" t="str">
        <f t="shared" ca="1" si="15"/>
        <v/>
      </c>
      <c r="P243" s="5"/>
    </row>
    <row r="244" spans="1:16" x14ac:dyDescent="0.25">
      <c r="A244" s="5"/>
      <c r="B244" s="5"/>
      <c r="C244" s="6" t="str">
        <f>IFERROR(INDEX(Suppliers!$B$5:$B$104,MATCH(B244,Suppliers!$A$5:$A$104,0)),"")</f>
        <v/>
      </c>
      <c r="D244" s="5"/>
      <c r="E244" s="5"/>
      <c r="F244" s="7"/>
      <c r="G244" s="7"/>
      <c r="H244" s="8"/>
      <c r="I244" s="9"/>
      <c r="J244" s="10" t="str">
        <f t="shared" si="12"/>
        <v/>
      </c>
      <c r="K244" s="11" t="str">
        <f>IF(A244="","",SUMIF(Receipts!$B$5:$B$510,A244,Receipts!$D$5:$D$510))</f>
        <v/>
      </c>
      <c r="L244" s="11" t="str">
        <f t="shared" si="13"/>
        <v/>
      </c>
      <c r="M244" s="12" t="str">
        <f>IF(COUNTIF(Receipts!$B$5:$B$510,A244)=0,"",IFERROR(LOOKUP(2,1/(Receipts!$B$5:$B$510=A244),Receipts!$C$5:$C$510),""))</f>
        <v/>
      </c>
      <c r="N244" s="6" t="str">
        <f t="shared" ca="1" si="14"/>
        <v/>
      </c>
      <c r="O244" s="11" t="str">
        <f t="shared" ca="1" si="15"/>
        <v/>
      </c>
      <c r="P244" s="5"/>
    </row>
    <row r="245" spans="1:16" x14ac:dyDescent="0.25">
      <c r="A245" s="5"/>
      <c r="B245" s="5"/>
      <c r="C245" s="6" t="str">
        <f>IFERROR(INDEX(Suppliers!$B$5:$B$104,MATCH(B245,Suppliers!$A$5:$A$104,0)),"")</f>
        <v/>
      </c>
      <c r="D245" s="5"/>
      <c r="E245" s="5"/>
      <c r="F245" s="7"/>
      <c r="G245" s="7"/>
      <c r="H245" s="8"/>
      <c r="I245" s="9"/>
      <c r="J245" s="10" t="str">
        <f t="shared" si="12"/>
        <v/>
      </c>
      <c r="K245" s="11" t="str">
        <f>IF(A245="","",SUMIF(Receipts!$B$5:$B$510,A245,Receipts!$D$5:$D$510))</f>
        <v/>
      </c>
      <c r="L245" s="11" t="str">
        <f t="shared" si="13"/>
        <v/>
      </c>
      <c r="M245" s="12" t="str">
        <f>IF(COUNTIF(Receipts!$B$5:$B$510,A245)=0,"",IFERROR(LOOKUP(2,1/(Receipts!$B$5:$B$510=A245),Receipts!$C$5:$C$510),""))</f>
        <v/>
      </c>
      <c r="N245" s="6" t="str">
        <f t="shared" ca="1" si="14"/>
        <v/>
      </c>
      <c r="O245" s="11" t="str">
        <f t="shared" ca="1" si="15"/>
        <v/>
      </c>
      <c r="P245" s="5"/>
    </row>
    <row r="246" spans="1:16" x14ac:dyDescent="0.25">
      <c r="A246" s="5"/>
      <c r="B246" s="5"/>
      <c r="C246" s="6" t="str">
        <f>IFERROR(INDEX(Suppliers!$B$5:$B$104,MATCH(B246,Suppliers!$A$5:$A$104,0)),"")</f>
        <v/>
      </c>
      <c r="D246" s="5"/>
      <c r="E246" s="5"/>
      <c r="F246" s="7"/>
      <c r="G246" s="7"/>
      <c r="H246" s="8"/>
      <c r="I246" s="9"/>
      <c r="J246" s="10" t="str">
        <f t="shared" si="12"/>
        <v/>
      </c>
      <c r="K246" s="11" t="str">
        <f>IF(A246="","",SUMIF(Receipts!$B$5:$B$510,A246,Receipts!$D$5:$D$510))</f>
        <v/>
      </c>
      <c r="L246" s="11" t="str">
        <f t="shared" si="13"/>
        <v/>
      </c>
      <c r="M246" s="12" t="str">
        <f>IF(COUNTIF(Receipts!$B$5:$B$510,A246)=0,"",IFERROR(LOOKUP(2,1/(Receipts!$B$5:$B$510=A246),Receipts!$C$5:$C$510),""))</f>
        <v/>
      </c>
      <c r="N246" s="6" t="str">
        <f t="shared" ca="1" si="14"/>
        <v/>
      </c>
      <c r="O246" s="11" t="str">
        <f t="shared" ca="1" si="15"/>
        <v/>
      </c>
      <c r="P246" s="5"/>
    </row>
    <row r="247" spans="1:16" x14ac:dyDescent="0.25">
      <c r="A247" s="5"/>
      <c r="B247" s="5"/>
      <c r="C247" s="6" t="str">
        <f>IFERROR(INDEX(Suppliers!$B$5:$B$104,MATCH(B247,Suppliers!$A$5:$A$104,0)),"")</f>
        <v/>
      </c>
      <c r="D247" s="5"/>
      <c r="E247" s="5"/>
      <c r="F247" s="7"/>
      <c r="G247" s="7"/>
      <c r="H247" s="8"/>
      <c r="I247" s="9"/>
      <c r="J247" s="10" t="str">
        <f t="shared" si="12"/>
        <v/>
      </c>
      <c r="K247" s="11" t="str">
        <f>IF(A247="","",SUMIF(Receipts!$B$5:$B$510,A247,Receipts!$D$5:$D$510))</f>
        <v/>
      </c>
      <c r="L247" s="11" t="str">
        <f t="shared" si="13"/>
        <v/>
      </c>
      <c r="M247" s="12" t="str">
        <f>IF(COUNTIF(Receipts!$B$5:$B$510,A247)=0,"",IFERROR(LOOKUP(2,1/(Receipts!$B$5:$B$510=A247),Receipts!$C$5:$C$510),""))</f>
        <v/>
      </c>
      <c r="N247" s="6" t="str">
        <f t="shared" ca="1" si="14"/>
        <v/>
      </c>
      <c r="O247" s="11" t="str">
        <f t="shared" ca="1" si="15"/>
        <v/>
      </c>
      <c r="P247" s="5"/>
    </row>
    <row r="248" spans="1:16" x14ac:dyDescent="0.25">
      <c r="A248" s="5"/>
      <c r="B248" s="5"/>
      <c r="C248" s="6" t="str">
        <f>IFERROR(INDEX(Suppliers!$B$5:$B$104,MATCH(B248,Suppliers!$A$5:$A$104,0)),"")</f>
        <v/>
      </c>
      <c r="D248" s="5"/>
      <c r="E248" s="5"/>
      <c r="F248" s="7"/>
      <c r="G248" s="7"/>
      <c r="H248" s="8"/>
      <c r="I248" s="9"/>
      <c r="J248" s="10" t="str">
        <f t="shared" si="12"/>
        <v/>
      </c>
      <c r="K248" s="11" t="str">
        <f>IF(A248="","",SUMIF(Receipts!$B$5:$B$510,A248,Receipts!$D$5:$D$510))</f>
        <v/>
      </c>
      <c r="L248" s="11" t="str">
        <f t="shared" si="13"/>
        <v/>
      </c>
      <c r="M248" s="12" t="str">
        <f>IF(COUNTIF(Receipts!$B$5:$B$510,A248)=0,"",IFERROR(LOOKUP(2,1/(Receipts!$B$5:$B$510=A248),Receipts!$C$5:$C$510),""))</f>
        <v/>
      </c>
      <c r="N248" s="6" t="str">
        <f t="shared" ca="1" si="14"/>
        <v/>
      </c>
      <c r="O248" s="11" t="str">
        <f t="shared" ca="1" si="15"/>
        <v/>
      </c>
      <c r="P248" s="5"/>
    </row>
    <row r="249" spans="1:16" x14ac:dyDescent="0.25">
      <c r="A249" s="5"/>
      <c r="B249" s="5"/>
      <c r="C249" s="6" t="str">
        <f>IFERROR(INDEX(Suppliers!$B$5:$B$104,MATCH(B249,Suppliers!$A$5:$A$104,0)),"")</f>
        <v/>
      </c>
      <c r="D249" s="5"/>
      <c r="E249" s="5"/>
      <c r="F249" s="7"/>
      <c r="G249" s="7"/>
      <c r="H249" s="8"/>
      <c r="I249" s="9"/>
      <c r="J249" s="10" t="str">
        <f t="shared" si="12"/>
        <v/>
      </c>
      <c r="K249" s="11" t="str">
        <f>IF(A249="","",SUMIF(Receipts!$B$5:$B$510,A249,Receipts!$D$5:$D$510))</f>
        <v/>
      </c>
      <c r="L249" s="11" t="str">
        <f t="shared" si="13"/>
        <v/>
      </c>
      <c r="M249" s="12" t="str">
        <f>IF(COUNTIF(Receipts!$B$5:$B$510,A249)=0,"",IFERROR(LOOKUP(2,1/(Receipts!$B$5:$B$510=A249),Receipts!$C$5:$C$510),""))</f>
        <v/>
      </c>
      <c r="N249" s="6" t="str">
        <f t="shared" ca="1" si="14"/>
        <v/>
      </c>
      <c r="O249" s="11" t="str">
        <f t="shared" ca="1" si="15"/>
        <v/>
      </c>
      <c r="P249" s="5"/>
    </row>
    <row r="250" spans="1:16" x14ac:dyDescent="0.25">
      <c r="A250" s="5"/>
      <c r="B250" s="5"/>
      <c r="C250" s="6" t="str">
        <f>IFERROR(INDEX(Suppliers!$B$5:$B$104,MATCH(B250,Suppliers!$A$5:$A$104,0)),"")</f>
        <v/>
      </c>
      <c r="D250" s="5"/>
      <c r="E250" s="5"/>
      <c r="F250" s="7"/>
      <c r="G250" s="7"/>
      <c r="H250" s="8"/>
      <c r="I250" s="9"/>
      <c r="J250" s="10" t="str">
        <f t="shared" si="12"/>
        <v/>
      </c>
      <c r="K250" s="11" t="str">
        <f>IF(A250="","",SUMIF(Receipts!$B$5:$B$510,A250,Receipts!$D$5:$D$510))</f>
        <v/>
      </c>
      <c r="L250" s="11" t="str">
        <f t="shared" si="13"/>
        <v/>
      </c>
      <c r="M250" s="12" t="str">
        <f>IF(COUNTIF(Receipts!$B$5:$B$510,A250)=0,"",IFERROR(LOOKUP(2,1/(Receipts!$B$5:$B$510=A250),Receipts!$C$5:$C$510),""))</f>
        <v/>
      </c>
      <c r="N250" s="6" t="str">
        <f t="shared" ca="1" si="14"/>
        <v/>
      </c>
      <c r="O250" s="11" t="str">
        <f t="shared" ca="1" si="15"/>
        <v/>
      </c>
      <c r="P250" s="5"/>
    </row>
    <row r="251" spans="1:16" x14ac:dyDescent="0.25">
      <c r="A251" s="5"/>
      <c r="B251" s="5"/>
      <c r="C251" s="6" t="str">
        <f>IFERROR(INDEX(Suppliers!$B$5:$B$104,MATCH(B251,Suppliers!$A$5:$A$104,0)),"")</f>
        <v/>
      </c>
      <c r="D251" s="5"/>
      <c r="E251" s="5"/>
      <c r="F251" s="7"/>
      <c r="G251" s="7"/>
      <c r="H251" s="8"/>
      <c r="I251" s="9"/>
      <c r="J251" s="10" t="str">
        <f t="shared" si="12"/>
        <v/>
      </c>
      <c r="K251" s="11" t="str">
        <f>IF(A251="","",SUMIF(Receipts!$B$5:$B$510,A251,Receipts!$D$5:$D$510))</f>
        <v/>
      </c>
      <c r="L251" s="11" t="str">
        <f t="shared" si="13"/>
        <v/>
      </c>
      <c r="M251" s="12" t="str">
        <f>IF(COUNTIF(Receipts!$B$5:$B$510,A251)=0,"",IFERROR(LOOKUP(2,1/(Receipts!$B$5:$B$510=A251),Receipts!$C$5:$C$510),""))</f>
        <v/>
      </c>
      <c r="N251" s="6" t="str">
        <f t="shared" ca="1" si="14"/>
        <v/>
      </c>
      <c r="O251" s="11" t="str">
        <f t="shared" ca="1" si="15"/>
        <v/>
      </c>
      <c r="P251" s="5"/>
    </row>
    <row r="252" spans="1:16" x14ac:dyDescent="0.25">
      <c r="A252" s="5"/>
      <c r="B252" s="5"/>
      <c r="C252" s="6" t="str">
        <f>IFERROR(INDEX(Suppliers!$B$5:$B$104,MATCH(B252,Suppliers!$A$5:$A$104,0)),"")</f>
        <v/>
      </c>
      <c r="D252" s="5"/>
      <c r="E252" s="5"/>
      <c r="F252" s="7"/>
      <c r="G252" s="7"/>
      <c r="H252" s="8"/>
      <c r="I252" s="9"/>
      <c r="J252" s="10" t="str">
        <f t="shared" si="12"/>
        <v/>
      </c>
      <c r="K252" s="11" t="str">
        <f>IF(A252="","",SUMIF(Receipts!$B$5:$B$510,A252,Receipts!$D$5:$D$510))</f>
        <v/>
      </c>
      <c r="L252" s="11" t="str">
        <f t="shared" si="13"/>
        <v/>
      </c>
      <c r="M252" s="12" t="str">
        <f>IF(COUNTIF(Receipts!$B$5:$B$510,A252)=0,"",IFERROR(LOOKUP(2,1/(Receipts!$B$5:$B$510=A252),Receipts!$C$5:$C$510),""))</f>
        <v/>
      </c>
      <c r="N252" s="6" t="str">
        <f t="shared" ca="1" si="14"/>
        <v/>
      </c>
      <c r="O252" s="11" t="str">
        <f t="shared" ca="1" si="15"/>
        <v/>
      </c>
      <c r="P252" s="5"/>
    </row>
    <row r="253" spans="1:16" x14ac:dyDescent="0.25">
      <c r="A253" s="5"/>
      <c r="B253" s="5"/>
      <c r="C253" s="6" t="str">
        <f>IFERROR(INDEX(Suppliers!$B$5:$B$104,MATCH(B253,Suppliers!$A$5:$A$104,0)),"")</f>
        <v/>
      </c>
      <c r="D253" s="5"/>
      <c r="E253" s="5"/>
      <c r="F253" s="7"/>
      <c r="G253" s="7"/>
      <c r="H253" s="8"/>
      <c r="I253" s="9"/>
      <c r="J253" s="10" t="str">
        <f t="shared" si="12"/>
        <v/>
      </c>
      <c r="K253" s="11" t="str">
        <f>IF(A253="","",SUMIF(Receipts!$B$5:$B$510,A253,Receipts!$D$5:$D$510))</f>
        <v/>
      </c>
      <c r="L253" s="11" t="str">
        <f t="shared" si="13"/>
        <v/>
      </c>
      <c r="M253" s="12" t="str">
        <f>IF(COUNTIF(Receipts!$B$5:$B$510,A253)=0,"",IFERROR(LOOKUP(2,1/(Receipts!$B$5:$B$510=A253),Receipts!$C$5:$C$510),""))</f>
        <v/>
      </c>
      <c r="N253" s="6" t="str">
        <f t="shared" ca="1" si="14"/>
        <v/>
      </c>
      <c r="O253" s="11" t="str">
        <f t="shared" ca="1" si="15"/>
        <v/>
      </c>
      <c r="P253" s="5"/>
    </row>
    <row r="254" spans="1:16" x14ac:dyDescent="0.25">
      <c r="A254" s="5"/>
      <c r="B254" s="5"/>
      <c r="C254" s="6" t="str">
        <f>IFERROR(INDEX(Suppliers!$B$5:$B$104,MATCH(B254,Suppliers!$A$5:$A$104,0)),"")</f>
        <v/>
      </c>
      <c r="D254" s="5"/>
      <c r="E254" s="5"/>
      <c r="F254" s="7"/>
      <c r="G254" s="7"/>
      <c r="H254" s="8"/>
      <c r="I254" s="9"/>
      <c r="J254" s="10" t="str">
        <f t="shared" si="12"/>
        <v/>
      </c>
      <c r="K254" s="11" t="str">
        <f>IF(A254="","",SUMIF(Receipts!$B$5:$B$510,A254,Receipts!$D$5:$D$510))</f>
        <v/>
      </c>
      <c r="L254" s="11" t="str">
        <f t="shared" si="13"/>
        <v/>
      </c>
      <c r="M254" s="12" t="str">
        <f>IF(COUNTIF(Receipts!$B$5:$B$510,A254)=0,"",IFERROR(LOOKUP(2,1/(Receipts!$B$5:$B$510=A254),Receipts!$C$5:$C$510),""))</f>
        <v/>
      </c>
      <c r="N254" s="6" t="str">
        <f t="shared" ca="1" si="14"/>
        <v/>
      </c>
      <c r="O254" s="11" t="str">
        <f t="shared" ca="1" si="15"/>
        <v/>
      </c>
      <c r="P254" s="5"/>
    </row>
    <row r="255" spans="1:16" x14ac:dyDescent="0.25">
      <c r="A255" s="5"/>
      <c r="B255" s="5"/>
      <c r="C255" s="6" t="str">
        <f>IFERROR(INDEX(Suppliers!$B$5:$B$104,MATCH(B255,Suppliers!$A$5:$A$104,0)),"")</f>
        <v/>
      </c>
      <c r="D255" s="5"/>
      <c r="E255" s="5"/>
      <c r="F255" s="7"/>
      <c r="G255" s="7"/>
      <c r="H255" s="8"/>
      <c r="I255" s="9"/>
      <c r="J255" s="10" t="str">
        <f t="shared" si="12"/>
        <v/>
      </c>
      <c r="K255" s="11" t="str">
        <f>IF(A255="","",SUMIF(Receipts!$B$5:$B$510,A255,Receipts!$D$5:$D$510))</f>
        <v/>
      </c>
      <c r="L255" s="11" t="str">
        <f t="shared" si="13"/>
        <v/>
      </c>
      <c r="M255" s="12" t="str">
        <f>IF(COUNTIF(Receipts!$B$5:$B$510,A255)=0,"",IFERROR(LOOKUP(2,1/(Receipts!$B$5:$B$510=A255),Receipts!$C$5:$C$510),""))</f>
        <v/>
      </c>
      <c r="N255" s="6" t="str">
        <f t="shared" ca="1" si="14"/>
        <v/>
      </c>
      <c r="O255" s="11" t="str">
        <f t="shared" ca="1" si="15"/>
        <v/>
      </c>
      <c r="P255" s="5"/>
    </row>
    <row r="256" spans="1:16" x14ac:dyDescent="0.25">
      <c r="A256" s="5"/>
      <c r="B256" s="5"/>
      <c r="C256" s="6" t="str">
        <f>IFERROR(INDEX(Suppliers!$B$5:$B$104,MATCH(B256,Suppliers!$A$5:$A$104,0)),"")</f>
        <v/>
      </c>
      <c r="D256" s="5"/>
      <c r="E256" s="5"/>
      <c r="F256" s="7"/>
      <c r="G256" s="7"/>
      <c r="H256" s="8"/>
      <c r="I256" s="9"/>
      <c r="J256" s="10" t="str">
        <f t="shared" si="12"/>
        <v/>
      </c>
      <c r="K256" s="11" t="str">
        <f>IF(A256="","",SUMIF(Receipts!$B$5:$B$510,A256,Receipts!$D$5:$D$510))</f>
        <v/>
      </c>
      <c r="L256" s="11" t="str">
        <f t="shared" si="13"/>
        <v/>
      </c>
      <c r="M256" s="12" t="str">
        <f>IF(COUNTIF(Receipts!$B$5:$B$510,A256)=0,"",IFERROR(LOOKUP(2,1/(Receipts!$B$5:$B$510=A256),Receipts!$C$5:$C$510),""))</f>
        <v/>
      </c>
      <c r="N256" s="6" t="str">
        <f t="shared" ca="1" si="14"/>
        <v/>
      </c>
      <c r="O256" s="11" t="str">
        <f t="shared" ca="1" si="15"/>
        <v/>
      </c>
      <c r="P256" s="5"/>
    </row>
    <row r="257" spans="1:16" x14ac:dyDescent="0.25">
      <c r="A257" s="5"/>
      <c r="B257" s="5"/>
      <c r="C257" s="6" t="str">
        <f>IFERROR(INDEX(Suppliers!$B$5:$B$104,MATCH(B257,Suppliers!$A$5:$A$104,0)),"")</f>
        <v/>
      </c>
      <c r="D257" s="5"/>
      <c r="E257" s="5"/>
      <c r="F257" s="7"/>
      <c r="G257" s="7"/>
      <c r="H257" s="8"/>
      <c r="I257" s="9"/>
      <c r="J257" s="10" t="str">
        <f t="shared" si="12"/>
        <v/>
      </c>
      <c r="K257" s="11" t="str">
        <f>IF(A257="","",SUMIF(Receipts!$B$5:$B$510,A257,Receipts!$D$5:$D$510))</f>
        <v/>
      </c>
      <c r="L257" s="11" t="str">
        <f t="shared" si="13"/>
        <v/>
      </c>
      <c r="M257" s="12" t="str">
        <f>IF(COUNTIF(Receipts!$B$5:$B$510,A257)=0,"",IFERROR(LOOKUP(2,1/(Receipts!$B$5:$B$510=A257),Receipts!$C$5:$C$510),""))</f>
        <v/>
      </c>
      <c r="N257" s="6" t="str">
        <f t="shared" ca="1" si="14"/>
        <v/>
      </c>
      <c r="O257" s="11" t="str">
        <f t="shared" ca="1" si="15"/>
        <v/>
      </c>
      <c r="P257" s="5"/>
    </row>
    <row r="258" spans="1:16" x14ac:dyDescent="0.25">
      <c r="A258" s="5"/>
      <c r="B258" s="5"/>
      <c r="C258" s="6" t="str">
        <f>IFERROR(INDEX(Suppliers!$B$5:$B$104,MATCH(B258,Suppliers!$A$5:$A$104,0)),"")</f>
        <v/>
      </c>
      <c r="D258" s="5"/>
      <c r="E258" s="5"/>
      <c r="F258" s="7"/>
      <c r="G258" s="7"/>
      <c r="H258" s="8"/>
      <c r="I258" s="9"/>
      <c r="J258" s="10" t="str">
        <f t="shared" si="12"/>
        <v/>
      </c>
      <c r="K258" s="11" t="str">
        <f>IF(A258="","",SUMIF(Receipts!$B$5:$B$510,A258,Receipts!$D$5:$D$510))</f>
        <v/>
      </c>
      <c r="L258" s="11" t="str">
        <f t="shared" si="13"/>
        <v/>
      </c>
      <c r="M258" s="12" t="str">
        <f>IF(COUNTIF(Receipts!$B$5:$B$510,A258)=0,"",IFERROR(LOOKUP(2,1/(Receipts!$B$5:$B$510=A258),Receipts!$C$5:$C$510),""))</f>
        <v/>
      </c>
      <c r="N258" s="6" t="str">
        <f t="shared" ca="1" si="14"/>
        <v/>
      </c>
      <c r="O258" s="11" t="str">
        <f t="shared" ca="1" si="15"/>
        <v/>
      </c>
      <c r="P258" s="5"/>
    </row>
    <row r="259" spans="1:16" x14ac:dyDescent="0.25">
      <c r="A259" s="5"/>
      <c r="B259" s="5"/>
      <c r="C259" s="6" t="str">
        <f>IFERROR(INDEX(Suppliers!$B$5:$B$104,MATCH(B259,Suppliers!$A$5:$A$104,0)),"")</f>
        <v/>
      </c>
      <c r="D259" s="5"/>
      <c r="E259" s="5"/>
      <c r="F259" s="7"/>
      <c r="G259" s="7"/>
      <c r="H259" s="8"/>
      <c r="I259" s="9"/>
      <c r="J259" s="10" t="str">
        <f t="shared" si="12"/>
        <v/>
      </c>
      <c r="K259" s="11" t="str">
        <f>IF(A259="","",SUMIF(Receipts!$B$5:$B$510,A259,Receipts!$D$5:$D$510))</f>
        <v/>
      </c>
      <c r="L259" s="11" t="str">
        <f t="shared" si="13"/>
        <v/>
      </c>
      <c r="M259" s="12" t="str">
        <f>IF(COUNTIF(Receipts!$B$5:$B$510,A259)=0,"",IFERROR(LOOKUP(2,1/(Receipts!$B$5:$B$510=A259),Receipts!$C$5:$C$510),""))</f>
        <v/>
      </c>
      <c r="N259" s="6" t="str">
        <f t="shared" ca="1" si="14"/>
        <v/>
      </c>
      <c r="O259" s="11" t="str">
        <f t="shared" ca="1" si="15"/>
        <v/>
      </c>
      <c r="P259" s="5"/>
    </row>
    <row r="260" spans="1:16" x14ac:dyDescent="0.25">
      <c r="A260" s="5"/>
      <c r="B260" s="5"/>
      <c r="C260" s="6" t="str">
        <f>IFERROR(INDEX(Suppliers!$B$5:$B$104,MATCH(B260,Suppliers!$A$5:$A$104,0)),"")</f>
        <v/>
      </c>
      <c r="D260" s="5"/>
      <c r="E260" s="5"/>
      <c r="F260" s="7"/>
      <c r="G260" s="7"/>
      <c r="H260" s="8"/>
      <c r="I260" s="9"/>
      <c r="J260" s="10" t="str">
        <f t="shared" si="12"/>
        <v/>
      </c>
      <c r="K260" s="11" t="str">
        <f>IF(A260="","",SUMIF(Receipts!$B$5:$B$510,A260,Receipts!$D$5:$D$510))</f>
        <v/>
      </c>
      <c r="L260" s="11" t="str">
        <f t="shared" si="13"/>
        <v/>
      </c>
      <c r="M260" s="12" t="str">
        <f>IF(COUNTIF(Receipts!$B$5:$B$510,A260)=0,"",IFERROR(LOOKUP(2,1/(Receipts!$B$5:$B$510=A260),Receipts!$C$5:$C$510),""))</f>
        <v/>
      </c>
      <c r="N260" s="6" t="str">
        <f t="shared" ca="1" si="14"/>
        <v/>
      </c>
      <c r="O260" s="11" t="str">
        <f t="shared" ca="1" si="15"/>
        <v/>
      </c>
      <c r="P260" s="5"/>
    </row>
    <row r="261" spans="1:16" x14ac:dyDescent="0.25">
      <c r="A261" s="5"/>
      <c r="B261" s="5"/>
      <c r="C261" s="6" t="str">
        <f>IFERROR(INDEX(Suppliers!$B$5:$B$104,MATCH(B261,Suppliers!$A$5:$A$104,0)),"")</f>
        <v/>
      </c>
      <c r="D261" s="5"/>
      <c r="E261" s="5"/>
      <c r="F261" s="7"/>
      <c r="G261" s="7"/>
      <c r="H261" s="8"/>
      <c r="I261" s="9"/>
      <c r="J261" s="10" t="str">
        <f t="shared" ref="J261:J324" si="16">IF(OR(H261="",I261=""),"",H261*I261)</f>
        <v/>
      </c>
      <c r="K261" s="11" t="str">
        <f>IF(A261="","",SUMIF(Receipts!$B$5:$B$510,A261,Receipts!$D$5:$D$510))</f>
        <v/>
      </c>
      <c r="L261" s="11" t="str">
        <f t="shared" ref="L261:L324" si="17">IF(A261="","",MAX(0,H261-K261))</f>
        <v/>
      </c>
      <c r="M261" s="12" t="str">
        <f>IF(COUNTIF(Receipts!$B$5:$B$510,A261)=0,"",IFERROR(LOOKUP(2,1/(Receipts!$B$5:$B$510=A261),Receipts!$C$5:$C$510),""))</f>
        <v/>
      </c>
      <c r="N261" s="6" t="str">
        <f t="shared" ref="N261:N324" ca="1" si="18">IF(A261="","",IF(OR(H261="",G261=""),"Incomplete",IF(K261&gt;H261,"Over-received",IF(L261=0,"Complete",IF(K261&gt;0,IF(G261&lt;TODAY(),"Overdue - Partial","Partially Received"),IF(G261&lt;TODAY(),"Overdue","Scheduled"))))))</f>
        <v/>
      </c>
      <c r="O261" s="11" t="str">
        <f t="shared" ref="O261:O324" ca="1" si="19">IF(OR(A261="",L261=0,G261=""),"",MAX(0,TODAY()-G261))</f>
        <v/>
      </c>
      <c r="P261" s="5"/>
    </row>
    <row r="262" spans="1:16" x14ac:dyDescent="0.25">
      <c r="A262" s="5"/>
      <c r="B262" s="5"/>
      <c r="C262" s="6" t="str">
        <f>IFERROR(INDEX(Suppliers!$B$5:$B$104,MATCH(B262,Suppliers!$A$5:$A$104,0)),"")</f>
        <v/>
      </c>
      <c r="D262" s="5"/>
      <c r="E262" s="5"/>
      <c r="F262" s="7"/>
      <c r="G262" s="7"/>
      <c r="H262" s="8"/>
      <c r="I262" s="9"/>
      <c r="J262" s="10" t="str">
        <f t="shared" si="16"/>
        <v/>
      </c>
      <c r="K262" s="11" t="str">
        <f>IF(A262="","",SUMIF(Receipts!$B$5:$B$510,A262,Receipts!$D$5:$D$510))</f>
        <v/>
      </c>
      <c r="L262" s="11" t="str">
        <f t="shared" si="17"/>
        <v/>
      </c>
      <c r="M262" s="12" t="str">
        <f>IF(COUNTIF(Receipts!$B$5:$B$510,A262)=0,"",IFERROR(LOOKUP(2,1/(Receipts!$B$5:$B$510=A262),Receipts!$C$5:$C$510),""))</f>
        <v/>
      </c>
      <c r="N262" s="6" t="str">
        <f t="shared" ca="1" si="18"/>
        <v/>
      </c>
      <c r="O262" s="11" t="str">
        <f t="shared" ca="1" si="19"/>
        <v/>
      </c>
      <c r="P262" s="5"/>
    </row>
    <row r="263" spans="1:16" x14ac:dyDescent="0.25">
      <c r="A263" s="5"/>
      <c r="B263" s="5"/>
      <c r="C263" s="6" t="str">
        <f>IFERROR(INDEX(Suppliers!$B$5:$B$104,MATCH(B263,Suppliers!$A$5:$A$104,0)),"")</f>
        <v/>
      </c>
      <c r="D263" s="5"/>
      <c r="E263" s="5"/>
      <c r="F263" s="7"/>
      <c r="G263" s="7"/>
      <c r="H263" s="8"/>
      <c r="I263" s="9"/>
      <c r="J263" s="10" t="str">
        <f t="shared" si="16"/>
        <v/>
      </c>
      <c r="K263" s="11" t="str">
        <f>IF(A263="","",SUMIF(Receipts!$B$5:$B$510,A263,Receipts!$D$5:$D$510))</f>
        <v/>
      </c>
      <c r="L263" s="11" t="str">
        <f t="shared" si="17"/>
        <v/>
      </c>
      <c r="M263" s="12" t="str">
        <f>IF(COUNTIF(Receipts!$B$5:$B$510,A263)=0,"",IFERROR(LOOKUP(2,1/(Receipts!$B$5:$B$510=A263),Receipts!$C$5:$C$510),""))</f>
        <v/>
      </c>
      <c r="N263" s="6" t="str">
        <f t="shared" ca="1" si="18"/>
        <v/>
      </c>
      <c r="O263" s="11" t="str">
        <f t="shared" ca="1" si="19"/>
        <v/>
      </c>
      <c r="P263" s="5"/>
    </row>
    <row r="264" spans="1:16" x14ac:dyDescent="0.25">
      <c r="A264" s="5"/>
      <c r="B264" s="5"/>
      <c r="C264" s="6" t="str">
        <f>IFERROR(INDEX(Suppliers!$B$5:$B$104,MATCH(B264,Suppliers!$A$5:$A$104,0)),"")</f>
        <v/>
      </c>
      <c r="D264" s="5"/>
      <c r="E264" s="5"/>
      <c r="F264" s="7"/>
      <c r="G264" s="7"/>
      <c r="H264" s="8"/>
      <c r="I264" s="9"/>
      <c r="J264" s="10" t="str">
        <f t="shared" si="16"/>
        <v/>
      </c>
      <c r="K264" s="11" t="str">
        <f>IF(A264="","",SUMIF(Receipts!$B$5:$B$510,A264,Receipts!$D$5:$D$510))</f>
        <v/>
      </c>
      <c r="L264" s="11" t="str">
        <f t="shared" si="17"/>
        <v/>
      </c>
      <c r="M264" s="12" t="str">
        <f>IF(COUNTIF(Receipts!$B$5:$B$510,A264)=0,"",IFERROR(LOOKUP(2,1/(Receipts!$B$5:$B$510=A264),Receipts!$C$5:$C$510),""))</f>
        <v/>
      </c>
      <c r="N264" s="6" t="str">
        <f t="shared" ca="1" si="18"/>
        <v/>
      </c>
      <c r="O264" s="11" t="str">
        <f t="shared" ca="1" si="19"/>
        <v/>
      </c>
      <c r="P264" s="5"/>
    </row>
    <row r="265" spans="1:16" x14ac:dyDescent="0.25">
      <c r="A265" s="5"/>
      <c r="B265" s="5"/>
      <c r="C265" s="6" t="str">
        <f>IFERROR(INDEX(Suppliers!$B$5:$B$104,MATCH(B265,Suppliers!$A$5:$A$104,0)),"")</f>
        <v/>
      </c>
      <c r="D265" s="5"/>
      <c r="E265" s="5"/>
      <c r="F265" s="7"/>
      <c r="G265" s="7"/>
      <c r="H265" s="8"/>
      <c r="I265" s="9"/>
      <c r="J265" s="10" t="str">
        <f t="shared" si="16"/>
        <v/>
      </c>
      <c r="K265" s="11" t="str">
        <f>IF(A265="","",SUMIF(Receipts!$B$5:$B$510,A265,Receipts!$D$5:$D$510))</f>
        <v/>
      </c>
      <c r="L265" s="11" t="str">
        <f t="shared" si="17"/>
        <v/>
      </c>
      <c r="M265" s="12" t="str">
        <f>IF(COUNTIF(Receipts!$B$5:$B$510,A265)=0,"",IFERROR(LOOKUP(2,1/(Receipts!$B$5:$B$510=A265),Receipts!$C$5:$C$510),""))</f>
        <v/>
      </c>
      <c r="N265" s="6" t="str">
        <f t="shared" ca="1" si="18"/>
        <v/>
      </c>
      <c r="O265" s="11" t="str">
        <f t="shared" ca="1" si="19"/>
        <v/>
      </c>
      <c r="P265" s="5"/>
    </row>
    <row r="266" spans="1:16" x14ac:dyDescent="0.25">
      <c r="A266" s="5"/>
      <c r="B266" s="5"/>
      <c r="C266" s="6" t="str">
        <f>IFERROR(INDEX(Suppliers!$B$5:$B$104,MATCH(B266,Suppliers!$A$5:$A$104,0)),"")</f>
        <v/>
      </c>
      <c r="D266" s="5"/>
      <c r="E266" s="5"/>
      <c r="F266" s="7"/>
      <c r="G266" s="7"/>
      <c r="H266" s="8"/>
      <c r="I266" s="9"/>
      <c r="J266" s="10" t="str">
        <f t="shared" si="16"/>
        <v/>
      </c>
      <c r="K266" s="11" t="str">
        <f>IF(A266="","",SUMIF(Receipts!$B$5:$B$510,A266,Receipts!$D$5:$D$510))</f>
        <v/>
      </c>
      <c r="L266" s="11" t="str">
        <f t="shared" si="17"/>
        <v/>
      </c>
      <c r="M266" s="12" t="str">
        <f>IF(COUNTIF(Receipts!$B$5:$B$510,A266)=0,"",IFERROR(LOOKUP(2,1/(Receipts!$B$5:$B$510=A266),Receipts!$C$5:$C$510),""))</f>
        <v/>
      </c>
      <c r="N266" s="6" t="str">
        <f t="shared" ca="1" si="18"/>
        <v/>
      </c>
      <c r="O266" s="11" t="str">
        <f t="shared" ca="1" si="19"/>
        <v/>
      </c>
      <c r="P266" s="5"/>
    </row>
    <row r="267" spans="1:16" x14ac:dyDescent="0.25">
      <c r="A267" s="5"/>
      <c r="B267" s="5"/>
      <c r="C267" s="6" t="str">
        <f>IFERROR(INDEX(Suppliers!$B$5:$B$104,MATCH(B267,Suppliers!$A$5:$A$104,0)),"")</f>
        <v/>
      </c>
      <c r="D267" s="5"/>
      <c r="E267" s="5"/>
      <c r="F267" s="7"/>
      <c r="G267" s="7"/>
      <c r="H267" s="8"/>
      <c r="I267" s="9"/>
      <c r="J267" s="10" t="str">
        <f t="shared" si="16"/>
        <v/>
      </c>
      <c r="K267" s="11" t="str">
        <f>IF(A267="","",SUMIF(Receipts!$B$5:$B$510,A267,Receipts!$D$5:$D$510))</f>
        <v/>
      </c>
      <c r="L267" s="11" t="str">
        <f t="shared" si="17"/>
        <v/>
      </c>
      <c r="M267" s="12" t="str">
        <f>IF(COUNTIF(Receipts!$B$5:$B$510,A267)=0,"",IFERROR(LOOKUP(2,1/(Receipts!$B$5:$B$510=A267),Receipts!$C$5:$C$510),""))</f>
        <v/>
      </c>
      <c r="N267" s="6" t="str">
        <f t="shared" ca="1" si="18"/>
        <v/>
      </c>
      <c r="O267" s="11" t="str">
        <f t="shared" ca="1" si="19"/>
        <v/>
      </c>
      <c r="P267" s="5"/>
    </row>
    <row r="268" spans="1:16" x14ac:dyDescent="0.25">
      <c r="A268" s="5"/>
      <c r="B268" s="5"/>
      <c r="C268" s="6" t="str">
        <f>IFERROR(INDEX(Suppliers!$B$5:$B$104,MATCH(B268,Suppliers!$A$5:$A$104,0)),"")</f>
        <v/>
      </c>
      <c r="D268" s="5"/>
      <c r="E268" s="5"/>
      <c r="F268" s="7"/>
      <c r="G268" s="7"/>
      <c r="H268" s="8"/>
      <c r="I268" s="9"/>
      <c r="J268" s="10" t="str">
        <f t="shared" si="16"/>
        <v/>
      </c>
      <c r="K268" s="11" t="str">
        <f>IF(A268="","",SUMIF(Receipts!$B$5:$B$510,A268,Receipts!$D$5:$D$510))</f>
        <v/>
      </c>
      <c r="L268" s="11" t="str">
        <f t="shared" si="17"/>
        <v/>
      </c>
      <c r="M268" s="12" t="str">
        <f>IF(COUNTIF(Receipts!$B$5:$B$510,A268)=0,"",IFERROR(LOOKUP(2,1/(Receipts!$B$5:$B$510=A268),Receipts!$C$5:$C$510),""))</f>
        <v/>
      </c>
      <c r="N268" s="6" t="str">
        <f t="shared" ca="1" si="18"/>
        <v/>
      </c>
      <c r="O268" s="11" t="str">
        <f t="shared" ca="1" si="19"/>
        <v/>
      </c>
      <c r="P268" s="5"/>
    </row>
    <row r="269" spans="1:16" x14ac:dyDescent="0.25">
      <c r="A269" s="5"/>
      <c r="B269" s="5"/>
      <c r="C269" s="6" t="str">
        <f>IFERROR(INDEX(Suppliers!$B$5:$B$104,MATCH(B269,Suppliers!$A$5:$A$104,0)),"")</f>
        <v/>
      </c>
      <c r="D269" s="5"/>
      <c r="E269" s="5"/>
      <c r="F269" s="7"/>
      <c r="G269" s="7"/>
      <c r="H269" s="8"/>
      <c r="I269" s="9"/>
      <c r="J269" s="10" t="str">
        <f t="shared" si="16"/>
        <v/>
      </c>
      <c r="K269" s="11" t="str">
        <f>IF(A269="","",SUMIF(Receipts!$B$5:$B$510,A269,Receipts!$D$5:$D$510))</f>
        <v/>
      </c>
      <c r="L269" s="11" t="str">
        <f t="shared" si="17"/>
        <v/>
      </c>
      <c r="M269" s="12" t="str">
        <f>IF(COUNTIF(Receipts!$B$5:$B$510,A269)=0,"",IFERROR(LOOKUP(2,1/(Receipts!$B$5:$B$510=A269),Receipts!$C$5:$C$510),""))</f>
        <v/>
      </c>
      <c r="N269" s="6" t="str">
        <f t="shared" ca="1" si="18"/>
        <v/>
      </c>
      <c r="O269" s="11" t="str">
        <f t="shared" ca="1" si="19"/>
        <v/>
      </c>
      <c r="P269" s="5"/>
    </row>
    <row r="270" spans="1:16" x14ac:dyDescent="0.25">
      <c r="A270" s="5"/>
      <c r="B270" s="5"/>
      <c r="C270" s="6" t="str">
        <f>IFERROR(INDEX(Suppliers!$B$5:$B$104,MATCH(B270,Suppliers!$A$5:$A$104,0)),"")</f>
        <v/>
      </c>
      <c r="D270" s="5"/>
      <c r="E270" s="5"/>
      <c r="F270" s="7"/>
      <c r="G270" s="7"/>
      <c r="H270" s="8"/>
      <c r="I270" s="9"/>
      <c r="J270" s="10" t="str">
        <f t="shared" si="16"/>
        <v/>
      </c>
      <c r="K270" s="11" t="str">
        <f>IF(A270="","",SUMIF(Receipts!$B$5:$B$510,A270,Receipts!$D$5:$D$510))</f>
        <v/>
      </c>
      <c r="L270" s="11" t="str">
        <f t="shared" si="17"/>
        <v/>
      </c>
      <c r="M270" s="12" t="str">
        <f>IF(COUNTIF(Receipts!$B$5:$B$510,A270)=0,"",IFERROR(LOOKUP(2,1/(Receipts!$B$5:$B$510=A270),Receipts!$C$5:$C$510),""))</f>
        <v/>
      </c>
      <c r="N270" s="6" t="str">
        <f t="shared" ca="1" si="18"/>
        <v/>
      </c>
      <c r="O270" s="11" t="str">
        <f t="shared" ca="1" si="19"/>
        <v/>
      </c>
      <c r="P270" s="5"/>
    </row>
    <row r="271" spans="1:16" x14ac:dyDescent="0.25">
      <c r="A271" s="5"/>
      <c r="B271" s="5"/>
      <c r="C271" s="6" t="str">
        <f>IFERROR(INDEX(Suppliers!$B$5:$B$104,MATCH(B271,Suppliers!$A$5:$A$104,0)),"")</f>
        <v/>
      </c>
      <c r="D271" s="5"/>
      <c r="E271" s="5"/>
      <c r="F271" s="7"/>
      <c r="G271" s="7"/>
      <c r="H271" s="8"/>
      <c r="I271" s="9"/>
      <c r="J271" s="10" t="str">
        <f t="shared" si="16"/>
        <v/>
      </c>
      <c r="K271" s="11" t="str">
        <f>IF(A271="","",SUMIF(Receipts!$B$5:$B$510,A271,Receipts!$D$5:$D$510))</f>
        <v/>
      </c>
      <c r="L271" s="11" t="str">
        <f t="shared" si="17"/>
        <v/>
      </c>
      <c r="M271" s="12" t="str">
        <f>IF(COUNTIF(Receipts!$B$5:$B$510,A271)=0,"",IFERROR(LOOKUP(2,1/(Receipts!$B$5:$B$510=A271),Receipts!$C$5:$C$510),""))</f>
        <v/>
      </c>
      <c r="N271" s="6" t="str">
        <f t="shared" ca="1" si="18"/>
        <v/>
      </c>
      <c r="O271" s="11" t="str">
        <f t="shared" ca="1" si="19"/>
        <v/>
      </c>
      <c r="P271" s="5"/>
    </row>
    <row r="272" spans="1:16" x14ac:dyDescent="0.25">
      <c r="A272" s="5"/>
      <c r="B272" s="5"/>
      <c r="C272" s="6" t="str">
        <f>IFERROR(INDEX(Suppliers!$B$5:$B$104,MATCH(B272,Suppliers!$A$5:$A$104,0)),"")</f>
        <v/>
      </c>
      <c r="D272" s="5"/>
      <c r="E272" s="5"/>
      <c r="F272" s="7"/>
      <c r="G272" s="7"/>
      <c r="H272" s="8"/>
      <c r="I272" s="9"/>
      <c r="J272" s="10" t="str">
        <f t="shared" si="16"/>
        <v/>
      </c>
      <c r="K272" s="11" t="str">
        <f>IF(A272="","",SUMIF(Receipts!$B$5:$B$510,A272,Receipts!$D$5:$D$510))</f>
        <v/>
      </c>
      <c r="L272" s="11" t="str">
        <f t="shared" si="17"/>
        <v/>
      </c>
      <c r="M272" s="12" t="str">
        <f>IF(COUNTIF(Receipts!$B$5:$B$510,A272)=0,"",IFERROR(LOOKUP(2,1/(Receipts!$B$5:$B$510=A272),Receipts!$C$5:$C$510),""))</f>
        <v/>
      </c>
      <c r="N272" s="6" t="str">
        <f t="shared" ca="1" si="18"/>
        <v/>
      </c>
      <c r="O272" s="11" t="str">
        <f t="shared" ca="1" si="19"/>
        <v/>
      </c>
      <c r="P272" s="5"/>
    </row>
    <row r="273" spans="1:16" x14ac:dyDescent="0.25">
      <c r="A273" s="5"/>
      <c r="B273" s="5"/>
      <c r="C273" s="6" t="str">
        <f>IFERROR(INDEX(Suppliers!$B$5:$B$104,MATCH(B273,Suppliers!$A$5:$A$104,0)),"")</f>
        <v/>
      </c>
      <c r="D273" s="5"/>
      <c r="E273" s="5"/>
      <c r="F273" s="7"/>
      <c r="G273" s="7"/>
      <c r="H273" s="8"/>
      <c r="I273" s="9"/>
      <c r="J273" s="10" t="str">
        <f t="shared" si="16"/>
        <v/>
      </c>
      <c r="K273" s="11" t="str">
        <f>IF(A273="","",SUMIF(Receipts!$B$5:$B$510,A273,Receipts!$D$5:$D$510))</f>
        <v/>
      </c>
      <c r="L273" s="11" t="str">
        <f t="shared" si="17"/>
        <v/>
      </c>
      <c r="M273" s="12" t="str">
        <f>IF(COUNTIF(Receipts!$B$5:$B$510,A273)=0,"",IFERROR(LOOKUP(2,1/(Receipts!$B$5:$B$510=A273),Receipts!$C$5:$C$510),""))</f>
        <v/>
      </c>
      <c r="N273" s="6" t="str">
        <f t="shared" ca="1" si="18"/>
        <v/>
      </c>
      <c r="O273" s="11" t="str">
        <f t="shared" ca="1" si="19"/>
        <v/>
      </c>
      <c r="P273" s="5"/>
    </row>
    <row r="274" spans="1:16" x14ac:dyDescent="0.25">
      <c r="A274" s="5"/>
      <c r="B274" s="5"/>
      <c r="C274" s="6" t="str">
        <f>IFERROR(INDEX(Suppliers!$B$5:$B$104,MATCH(B274,Suppliers!$A$5:$A$104,0)),"")</f>
        <v/>
      </c>
      <c r="D274" s="5"/>
      <c r="E274" s="5"/>
      <c r="F274" s="7"/>
      <c r="G274" s="7"/>
      <c r="H274" s="8"/>
      <c r="I274" s="9"/>
      <c r="J274" s="10" t="str">
        <f t="shared" si="16"/>
        <v/>
      </c>
      <c r="K274" s="11" t="str">
        <f>IF(A274="","",SUMIF(Receipts!$B$5:$B$510,A274,Receipts!$D$5:$D$510))</f>
        <v/>
      </c>
      <c r="L274" s="11" t="str">
        <f t="shared" si="17"/>
        <v/>
      </c>
      <c r="M274" s="12" t="str">
        <f>IF(COUNTIF(Receipts!$B$5:$B$510,A274)=0,"",IFERROR(LOOKUP(2,1/(Receipts!$B$5:$B$510=A274),Receipts!$C$5:$C$510),""))</f>
        <v/>
      </c>
      <c r="N274" s="6" t="str">
        <f t="shared" ca="1" si="18"/>
        <v/>
      </c>
      <c r="O274" s="11" t="str">
        <f t="shared" ca="1" si="19"/>
        <v/>
      </c>
      <c r="P274" s="5"/>
    </row>
    <row r="275" spans="1:16" x14ac:dyDescent="0.25">
      <c r="A275" s="5"/>
      <c r="B275" s="5"/>
      <c r="C275" s="6" t="str">
        <f>IFERROR(INDEX(Suppliers!$B$5:$B$104,MATCH(B275,Suppliers!$A$5:$A$104,0)),"")</f>
        <v/>
      </c>
      <c r="D275" s="5"/>
      <c r="E275" s="5"/>
      <c r="F275" s="7"/>
      <c r="G275" s="7"/>
      <c r="H275" s="8"/>
      <c r="I275" s="9"/>
      <c r="J275" s="10" t="str">
        <f t="shared" si="16"/>
        <v/>
      </c>
      <c r="K275" s="11" t="str">
        <f>IF(A275="","",SUMIF(Receipts!$B$5:$B$510,A275,Receipts!$D$5:$D$510))</f>
        <v/>
      </c>
      <c r="L275" s="11" t="str">
        <f t="shared" si="17"/>
        <v/>
      </c>
      <c r="M275" s="12" t="str">
        <f>IF(COUNTIF(Receipts!$B$5:$B$510,A275)=0,"",IFERROR(LOOKUP(2,1/(Receipts!$B$5:$B$510=A275),Receipts!$C$5:$C$510),""))</f>
        <v/>
      </c>
      <c r="N275" s="6" t="str">
        <f t="shared" ca="1" si="18"/>
        <v/>
      </c>
      <c r="O275" s="11" t="str">
        <f t="shared" ca="1" si="19"/>
        <v/>
      </c>
      <c r="P275" s="5"/>
    </row>
    <row r="276" spans="1:16" x14ac:dyDescent="0.25">
      <c r="A276" s="5"/>
      <c r="B276" s="5"/>
      <c r="C276" s="6" t="str">
        <f>IFERROR(INDEX(Suppliers!$B$5:$B$104,MATCH(B276,Suppliers!$A$5:$A$104,0)),"")</f>
        <v/>
      </c>
      <c r="D276" s="5"/>
      <c r="E276" s="5"/>
      <c r="F276" s="7"/>
      <c r="G276" s="7"/>
      <c r="H276" s="8"/>
      <c r="I276" s="9"/>
      <c r="J276" s="10" t="str">
        <f t="shared" si="16"/>
        <v/>
      </c>
      <c r="K276" s="11" t="str">
        <f>IF(A276="","",SUMIF(Receipts!$B$5:$B$510,A276,Receipts!$D$5:$D$510))</f>
        <v/>
      </c>
      <c r="L276" s="11" t="str">
        <f t="shared" si="17"/>
        <v/>
      </c>
      <c r="M276" s="12" t="str">
        <f>IF(COUNTIF(Receipts!$B$5:$B$510,A276)=0,"",IFERROR(LOOKUP(2,1/(Receipts!$B$5:$B$510=A276),Receipts!$C$5:$C$510),""))</f>
        <v/>
      </c>
      <c r="N276" s="6" t="str">
        <f t="shared" ca="1" si="18"/>
        <v/>
      </c>
      <c r="O276" s="11" t="str">
        <f t="shared" ca="1" si="19"/>
        <v/>
      </c>
      <c r="P276" s="5"/>
    </row>
    <row r="277" spans="1:16" x14ac:dyDescent="0.25">
      <c r="A277" s="5"/>
      <c r="B277" s="5"/>
      <c r="C277" s="6" t="str">
        <f>IFERROR(INDEX(Suppliers!$B$5:$B$104,MATCH(B277,Suppliers!$A$5:$A$104,0)),"")</f>
        <v/>
      </c>
      <c r="D277" s="5"/>
      <c r="E277" s="5"/>
      <c r="F277" s="7"/>
      <c r="G277" s="7"/>
      <c r="H277" s="8"/>
      <c r="I277" s="9"/>
      <c r="J277" s="10" t="str">
        <f t="shared" si="16"/>
        <v/>
      </c>
      <c r="K277" s="11" t="str">
        <f>IF(A277="","",SUMIF(Receipts!$B$5:$B$510,A277,Receipts!$D$5:$D$510))</f>
        <v/>
      </c>
      <c r="L277" s="11" t="str">
        <f t="shared" si="17"/>
        <v/>
      </c>
      <c r="M277" s="12" t="str">
        <f>IF(COUNTIF(Receipts!$B$5:$B$510,A277)=0,"",IFERROR(LOOKUP(2,1/(Receipts!$B$5:$B$510=A277),Receipts!$C$5:$C$510),""))</f>
        <v/>
      </c>
      <c r="N277" s="6" t="str">
        <f t="shared" ca="1" si="18"/>
        <v/>
      </c>
      <c r="O277" s="11" t="str">
        <f t="shared" ca="1" si="19"/>
        <v/>
      </c>
      <c r="P277" s="5"/>
    </row>
    <row r="278" spans="1:16" x14ac:dyDescent="0.25">
      <c r="A278" s="5"/>
      <c r="B278" s="5"/>
      <c r="C278" s="6" t="str">
        <f>IFERROR(INDEX(Suppliers!$B$5:$B$104,MATCH(B278,Suppliers!$A$5:$A$104,0)),"")</f>
        <v/>
      </c>
      <c r="D278" s="5"/>
      <c r="E278" s="5"/>
      <c r="F278" s="7"/>
      <c r="G278" s="7"/>
      <c r="H278" s="8"/>
      <c r="I278" s="9"/>
      <c r="J278" s="10" t="str">
        <f t="shared" si="16"/>
        <v/>
      </c>
      <c r="K278" s="11" t="str">
        <f>IF(A278="","",SUMIF(Receipts!$B$5:$B$510,A278,Receipts!$D$5:$D$510))</f>
        <v/>
      </c>
      <c r="L278" s="11" t="str">
        <f t="shared" si="17"/>
        <v/>
      </c>
      <c r="M278" s="12" t="str">
        <f>IF(COUNTIF(Receipts!$B$5:$B$510,A278)=0,"",IFERROR(LOOKUP(2,1/(Receipts!$B$5:$B$510=A278),Receipts!$C$5:$C$510),""))</f>
        <v/>
      </c>
      <c r="N278" s="6" t="str">
        <f t="shared" ca="1" si="18"/>
        <v/>
      </c>
      <c r="O278" s="11" t="str">
        <f t="shared" ca="1" si="19"/>
        <v/>
      </c>
      <c r="P278" s="5"/>
    </row>
    <row r="279" spans="1:16" x14ac:dyDescent="0.25">
      <c r="A279" s="5"/>
      <c r="B279" s="5"/>
      <c r="C279" s="6" t="str">
        <f>IFERROR(INDEX(Suppliers!$B$5:$B$104,MATCH(B279,Suppliers!$A$5:$A$104,0)),"")</f>
        <v/>
      </c>
      <c r="D279" s="5"/>
      <c r="E279" s="5"/>
      <c r="F279" s="7"/>
      <c r="G279" s="7"/>
      <c r="H279" s="8"/>
      <c r="I279" s="9"/>
      <c r="J279" s="10" t="str">
        <f t="shared" si="16"/>
        <v/>
      </c>
      <c r="K279" s="11" t="str">
        <f>IF(A279="","",SUMIF(Receipts!$B$5:$B$510,A279,Receipts!$D$5:$D$510))</f>
        <v/>
      </c>
      <c r="L279" s="11" t="str">
        <f t="shared" si="17"/>
        <v/>
      </c>
      <c r="M279" s="12" t="str">
        <f>IF(COUNTIF(Receipts!$B$5:$B$510,A279)=0,"",IFERROR(LOOKUP(2,1/(Receipts!$B$5:$B$510=A279),Receipts!$C$5:$C$510),""))</f>
        <v/>
      </c>
      <c r="N279" s="6" t="str">
        <f t="shared" ca="1" si="18"/>
        <v/>
      </c>
      <c r="O279" s="11" t="str">
        <f t="shared" ca="1" si="19"/>
        <v/>
      </c>
      <c r="P279" s="5"/>
    </row>
    <row r="280" spans="1:16" x14ac:dyDescent="0.25">
      <c r="A280" s="5"/>
      <c r="B280" s="5"/>
      <c r="C280" s="6" t="str">
        <f>IFERROR(INDEX(Suppliers!$B$5:$B$104,MATCH(B280,Suppliers!$A$5:$A$104,0)),"")</f>
        <v/>
      </c>
      <c r="D280" s="5"/>
      <c r="E280" s="5"/>
      <c r="F280" s="7"/>
      <c r="G280" s="7"/>
      <c r="H280" s="8"/>
      <c r="I280" s="9"/>
      <c r="J280" s="10" t="str">
        <f t="shared" si="16"/>
        <v/>
      </c>
      <c r="K280" s="11" t="str">
        <f>IF(A280="","",SUMIF(Receipts!$B$5:$B$510,A280,Receipts!$D$5:$D$510))</f>
        <v/>
      </c>
      <c r="L280" s="11" t="str">
        <f t="shared" si="17"/>
        <v/>
      </c>
      <c r="M280" s="12" t="str">
        <f>IF(COUNTIF(Receipts!$B$5:$B$510,A280)=0,"",IFERROR(LOOKUP(2,1/(Receipts!$B$5:$B$510=A280),Receipts!$C$5:$C$510),""))</f>
        <v/>
      </c>
      <c r="N280" s="6" t="str">
        <f t="shared" ca="1" si="18"/>
        <v/>
      </c>
      <c r="O280" s="11" t="str">
        <f t="shared" ca="1" si="19"/>
        <v/>
      </c>
      <c r="P280" s="5"/>
    </row>
    <row r="281" spans="1:16" x14ac:dyDescent="0.25">
      <c r="A281" s="5"/>
      <c r="B281" s="5"/>
      <c r="C281" s="6" t="str">
        <f>IFERROR(INDEX(Suppliers!$B$5:$B$104,MATCH(B281,Suppliers!$A$5:$A$104,0)),"")</f>
        <v/>
      </c>
      <c r="D281" s="5"/>
      <c r="E281" s="5"/>
      <c r="F281" s="7"/>
      <c r="G281" s="7"/>
      <c r="H281" s="8"/>
      <c r="I281" s="9"/>
      <c r="J281" s="10" t="str">
        <f t="shared" si="16"/>
        <v/>
      </c>
      <c r="K281" s="11" t="str">
        <f>IF(A281="","",SUMIF(Receipts!$B$5:$B$510,A281,Receipts!$D$5:$D$510))</f>
        <v/>
      </c>
      <c r="L281" s="11" t="str">
        <f t="shared" si="17"/>
        <v/>
      </c>
      <c r="M281" s="12" t="str">
        <f>IF(COUNTIF(Receipts!$B$5:$B$510,A281)=0,"",IFERROR(LOOKUP(2,1/(Receipts!$B$5:$B$510=A281),Receipts!$C$5:$C$510),""))</f>
        <v/>
      </c>
      <c r="N281" s="6" t="str">
        <f t="shared" ca="1" si="18"/>
        <v/>
      </c>
      <c r="O281" s="11" t="str">
        <f t="shared" ca="1" si="19"/>
        <v/>
      </c>
      <c r="P281" s="5"/>
    </row>
    <row r="282" spans="1:16" x14ac:dyDescent="0.25">
      <c r="A282" s="5"/>
      <c r="B282" s="5"/>
      <c r="C282" s="6" t="str">
        <f>IFERROR(INDEX(Suppliers!$B$5:$B$104,MATCH(B282,Suppliers!$A$5:$A$104,0)),"")</f>
        <v/>
      </c>
      <c r="D282" s="5"/>
      <c r="E282" s="5"/>
      <c r="F282" s="7"/>
      <c r="G282" s="7"/>
      <c r="H282" s="8"/>
      <c r="I282" s="9"/>
      <c r="J282" s="10" t="str">
        <f t="shared" si="16"/>
        <v/>
      </c>
      <c r="K282" s="11" t="str">
        <f>IF(A282="","",SUMIF(Receipts!$B$5:$B$510,A282,Receipts!$D$5:$D$510))</f>
        <v/>
      </c>
      <c r="L282" s="11" t="str">
        <f t="shared" si="17"/>
        <v/>
      </c>
      <c r="M282" s="12" t="str">
        <f>IF(COUNTIF(Receipts!$B$5:$B$510,A282)=0,"",IFERROR(LOOKUP(2,1/(Receipts!$B$5:$B$510=A282),Receipts!$C$5:$C$510),""))</f>
        <v/>
      </c>
      <c r="N282" s="6" t="str">
        <f t="shared" ca="1" si="18"/>
        <v/>
      </c>
      <c r="O282" s="11" t="str">
        <f t="shared" ca="1" si="19"/>
        <v/>
      </c>
      <c r="P282" s="5"/>
    </row>
    <row r="283" spans="1:16" x14ac:dyDescent="0.25">
      <c r="A283" s="5"/>
      <c r="B283" s="5"/>
      <c r="C283" s="6" t="str">
        <f>IFERROR(INDEX(Suppliers!$B$5:$B$104,MATCH(B283,Suppliers!$A$5:$A$104,0)),"")</f>
        <v/>
      </c>
      <c r="D283" s="5"/>
      <c r="E283" s="5"/>
      <c r="F283" s="7"/>
      <c r="G283" s="7"/>
      <c r="H283" s="8"/>
      <c r="I283" s="9"/>
      <c r="J283" s="10" t="str">
        <f t="shared" si="16"/>
        <v/>
      </c>
      <c r="K283" s="11" t="str">
        <f>IF(A283="","",SUMIF(Receipts!$B$5:$B$510,A283,Receipts!$D$5:$D$510))</f>
        <v/>
      </c>
      <c r="L283" s="11" t="str">
        <f t="shared" si="17"/>
        <v/>
      </c>
      <c r="M283" s="12" t="str">
        <f>IF(COUNTIF(Receipts!$B$5:$B$510,A283)=0,"",IFERROR(LOOKUP(2,1/(Receipts!$B$5:$B$510=A283),Receipts!$C$5:$C$510),""))</f>
        <v/>
      </c>
      <c r="N283" s="6" t="str">
        <f t="shared" ca="1" si="18"/>
        <v/>
      </c>
      <c r="O283" s="11" t="str">
        <f t="shared" ca="1" si="19"/>
        <v/>
      </c>
      <c r="P283" s="5"/>
    </row>
    <row r="284" spans="1:16" x14ac:dyDescent="0.25">
      <c r="A284" s="5"/>
      <c r="B284" s="5"/>
      <c r="C284" s="6" t="str">
        <f>IFERROR(INDEX(Suppliers!$B$5:$B$104,MATCH(B284,Suppliers!$A$5:$A$104,0)),"")</f>
        <v/>
      </c>
      <c r="D284" s="5"/>
      <c r="E284" s="5"/>
      <c r="F284" s="7"/>
      <c r="G284" s="7"/>
      <c r="H284" s="8"/>
      <c r="I284" s="9"/>
      <c r="J284" s="10" t="str">
        <f t="shared" si="16"/>
        <v/>
      </c>
      <c r="K284" s="11" t="str">
        <f>IF(A284="","",SUMIF(Receipts!$B$5:$B$510,A284,Receipts!$D$5:$D$510))</f>
        <v/>
      </c>
      <c r="L284" s="11" t="str">
        <f t="shared" si="17"/>
        <v/>
      </c>
      <c r="M284" s="12" t="str">
        <f>IF(COUNTIF(Receipts!$B$5:$B$510,A284)=0,"",IFERROR(LOOKUP(2,1/(Receipts!$B$5:$B$510=A284),Receipts!$C$5:$C$510),""))</f>
        <v/>
      </c>
      <c r="N284" s="6" t="str">
        <f t="shared" ca="1" si="18"/>
        <v/>
      </c>
      <c r="O284" s="11" t="str">
        <f t="shared" ca="1" si="19"/>
        <v/>
      </c>
      <c r="P284" s="5"/>
    </row>
    <row r="285" spans="1:16" x14ac:dyDescent="0.25">
      <c r="A285" s="5"/>
      <c r="B285" s="5"/>
      <c r="C285" s="6" t="str">
        <f>IFERROR(INDEX(Suppliers!$B$5:$B$104,MATCH(B285,Suppliers!$A$5:$A$104,0)),"")</f>
        <v/>
      </c>
      <c r="D285" s="5"/>
      <c r="E285" s="5"/>
      <c r="F285" s="7"/>
      <c r="G285" s="7"/>
      <c r="H285" s="8"/>
      <c r="I285" s="9"/>
      <c r="J285" s="10" t="str">
        <f t="shared" si="16"/>
        <v/>
      </c>
      <c r="K285" s="11" t="str">
        <f>IF(A285="","",SUMIF(Receipts!$B$5:$B$510,A285,Receipts!$D$5:$D$510))</f>
        <v/>
      </c>
      <c r="L285" s="11" t="str">
        <f t="shared" si="17"/>
        <v/>
      </c>
      <c r="M285" s="12" t="str">
        <f>IF(COUNTIF(Receipts!$B$5:$B$510,A285)=0,"",IFERROR(LOOKUP(2,1/(Receipts!$B$5:$B$510=A285),Receipts!$C$5:$C$510),""))</f>
        <v/>
      </c>
      <c r="N285" s="6" t="str">
        <f t="shared" ca="1" si="18"/>
        <v/>
      </c>
      <c r="O285" s="11" t="str">
        <f t="shared" ca="1" si="19"/>
        <v/>
      </c>
      <c r="P285" s="5"/>
    </row>
    <row r="286" spans="1:16" x14ac:dyDescent="0.25">
      <c r="A286" s="5"/>
      <c r="B286" s="5"/>
      <c r="C286" s="6" t="str">
        <f>IFERROR(INDEX(Suppliers!$B$5:$B$104,MATCH(B286,Suppliers!$A$5:$A$104,0)),"")</f>
        <v/>
      </c>
      <c r="D286" s="5"/>
      <c r="E286" s="5"/>
      <c r="F286" s="7"/>
      <c r="G286" s="7"/>
      <c r="H286" s="8"/>
      <c r="I286" s="9"/>
      <c r="J286" s="10" t="str">
        <f t="shared" si="16"/>
        <v/>
      </c>
      <c r="K286" s="11" t="str">
        <f>IF(A286="","",SUMIF(Receipts!$B$5:$B$510,A286,Receipts!$D$5:$D$510))</f>
        <v/>
      </c>
      <c r="L286" s="11" t="str">
        <f t="shared" si="17"/>
        <v/>
      </c>
      <c r="M286" s="12" t="str">
        <f>IF(COUNTIF(Receipts!$B$5:$B$510,A286)=0,"",IFERROR(LOOKUP(2,1/(Receipts!$B$5:$B$510=A286),Receipts!$C$5:$C$510),""))</f>
        <v/>
      </c>
      <c r="N286" s="6" t="str">
        <f t="shared" ca="1" si="18"/>
        <v/>
      </c>
      <c r="O286" s="11" t="str">
        <f t="shared" ca="1" si="19"/>
        <v/>
      </c>
      <c r="P286" s="5"/>
    </row>
    <row r="287" spans="1:16" x14ac:dyDescent="0.25">
      <c r="A287" s="5"/>
      <c r="B287" s="5"/>
      <c r="C287" s="6" t="str">
        <f>IFERROR(INDEX(Suppliers!$B$5:$B$104,MATCH(B287,Suppliers!$A$5:$A$104,0)),"")</f>
        <v/>
      </c>
      <c r="D287" s="5"/>
      <c r="E287" s="5"/>
      <c r="F287" s="7"/>
      <c r="G287" s="7"/>
      <c r="H287" s="8"/>
      <c r="I287" s="9"/>
      <c r="J287" s="10" t="str">
        <f t="shared" si="16"/>
        <v/>
      </c>
      <c r="K287" s="11" t="str">
        <f>IF(A287="","",SUMIF(Receipts!$B$5:$B$510,A287,Receipts!$D$5:$D$510))</f>
        <v/>
      </c>
      <c r="L287" s="11" t="str">
        <f t="shared" si="17"/>
        <v/>
      </c>
      <c r="M287" s="12" t="str">
        <f>IF(COUNTIF(Receipts!$B$5:$B$510,A287)=0,"",IFERROR(LOOKUP(2,1/(Receipts!$B$5:$B$510=A287),Receipts!$C$5:$C$510),""))</f>
        <v/>
      </c>
      <c r="N287" s="6" t="str">
        <f t="shared" ca="1" si="18"/>
        <v/>
      </c>
      <c r="O287" s="11" t="str">
        <f t="shared" ca="1" si="19"/>
        <v/>
      </c>
      <c r="P287" s="5"/>
    </row>
    <row r="288" spans="1:16" x14ac:dyDescent="0.25">
      <c r="A288" s="5"/>
      <c r="B288" s="5"/>
      <c r="C288" s="6" t="str">
        <f>IFERROR(INDEX(Suppliers!$B$5:$B$104,MATCH(B288,Suppliers!$A$5:$A$104,0)),"")</f>
        <v/>
      </c>
      <c r="D288" s="5"/>
      <c r="E288" s="5"/>
      <c r="F288" s="7"/>
      <c r="G288" s="7"/>
      <c r="H288" s="8"/>
      <c r="I288" s="9"/>
      <c r="J288" s="10" t="str">
        <f t="shared" si="16"/>
        <v/>
      </c>
      <c r="K288" s="11" t="str">
        <f>IF(A288="","",SUMIF(Receipts!$B$5:$B$510,A288,Receipts!$D$5:$D$510))</f>
        <v/>
      </c>
      <c r="L288" s="11" t="str">
        <f t="shared" si="17"/>
        <v/>
      </c>
      <c r="M288" s="12" t="str">
        <f>IF(COUNTIF(Receipts!$B$5:$B$510,A288)=0,"",IFERROR(LOOKUP(2,1/(Receipts!$B$5:$B$510=A288),Receipts!$C$5:$C$510),""))</f>
        <v/>
      </c>
      <c r="N288" s="6" t="str">
        <f t="shared" ca="1" si="18"/>
        <v/>
      </c>
      <c r="O288" s="11" t="str">
        <f t="shared" ca="1" si="19"/>
        <v/>
      </c>
      <c r="P288" s="5"/>
    </row>
    <row r="289" spans="1:16" x14ac:dyDescent="0.25">
      <c r="A289" s="5"/>
      <c r="B289" s="5"/>
      <c r="C289" s="6" t="str">
        <f>IFERROR(INDEX(Suppliers!$B$5:$B$104,MATCH(B289,Suppliers!$A$5:$A$104,0)),"")</f>
        <v/>
      </c>
      <c r="D289" s="5"/>
      <c r="E289" s="5"/>
      <c r="F289" s="7"/>
      <c r="G289" s="7"/>
      <c r="H289" s="8"/>
      <c r="I289" s="9"/>
      <c r="J289" s="10" t="str">
        <f t="shared" si="16"/>
        <v/>
      </c>
      <c r="K289" s="11" t="str">
        <f>IF(A289="","",SUMIF(Receipts!$B$5:$B$510,A289,Receipts!$D$5:$D$510))</f>
        <v/>
      </c>
      <c r="L289" s="11" t="str">
        <f t="shared" si="17"/>
        <v/>
      </c>
      <c r="M289" s="12" t="str">
        <f>IF(COUNTIF(Receipts!$B$5:$B$510,A289)=0,"",IFERROR(LOOKUP(2,1/(Receipts!$B$5:$B$510=A289),Receipts!$C$5:$C$510),""))</f>
        <v/>
      </c>
      <c r="N289" s="6" t="str">
        <f t="shared" ca="1" si="18"/>
        <v/>
      </c>
      <c r="O289" s="11" t="str">
        <f t="shared" ca="1" si="19"/>
        <v/>
      </c>
      <c r="P289" s="5"/>
    </row>
    <row r="290" spans="1:16" x14ac:dyDescent="0.25">
      <c r="A290" s="5"/>
      <c r="B290" s="5"/>
      <c r="C290" s="6" t="str">
        <f>IFERROR(INDEX(Suppliers!$B$5:$B$104,MATCH(B290,Suppliers!$A$5:$A$104,0)),"")</f>
        <v/>
      </c>
      <c r="D290" s="5"/>
      <c r="E290" s="5"/>
      <c r="F290" s="7"/>
      <c r="G290" s="7"/>
      <c r="H290" s="8"/>
      <c r="I290" s="9"/>
      <c r="J290" s="10" t="str">
        <f t="shared" si="16"/>
        <v/>
      </c>
      <c r="K290" s="11" t="str">
        <f>IF(A290="","",SUMIF(Receipts!$B$5:$B$510,A290,Receipts!$D$5:$D$510))</f>
        <v/>
      </c>
      <c r="L290" s="11" t="str">
        <f t="shared" si="17"/>
        <v/>
      </c>
      <c r="M290" s="12" t="str">
        <f>IF(COUNTIF(Receipts!$B$5:$B$510,A290)=0,"",IFERROR(LOOKUP(2,1/(Receipts!$B$5:$B$510=A290),Receipts!$C$5:$C$510),""))</f>
        <v/>
      </c>
      <c r="N290" s="6" t="str">
        <f t="shared" ca="1" si="18"/>
        <v/>
      </c>
      <c r="O290" s="11" t="str">
        <f t="shared" ca="1" si="19"/>
        <v/>
      </c>
      <c r="P290" s="5"/>
    </row>
    <row r="291" spans="1:16" x14ac:dyDescent="0.25">
      <c r="A291" s="5"/>
      <c r="B291" s="5"/>
      <c r="C291" s="6" t="str">
        <f>IFERROR(INDEX(Suppliers!$B$5:$B$104,MATCH(B291,Suppliers!$A$5:$A$104,0)),"")</f>
        <v/>
      </c>
      <c r="D291" s="5"/>
      <c r="E291" s="5"/>
      <c r="F291" s="7"/>
      <c r="G291" s="7"/>
      <c r="H291" s="8"/>
      <c r="I291" s="9"/>
      <c r="J291" s="10" t="str">
        <f t="shared" si="16"/>
        <v/>
      </c>
      <c r="K291" s="11" t="str">
        <f>IF(A291="","",SUMIF(Receipts!$B$5:$B$510,A291,Receipts!$D$5:$D$510))</f>
        <v/>
      </c>
      <c r="L291" s="11" t="str">
        <f t="shared" si="17"/>
        <v/>
      </c>
      <c r="M291" s="12" t="str">
        <f>IF(COUNTIF(Receipts!$B$5:$B$510,A291)=0,"",IFERROR(LOOKUP(2,1/(Receipts!$B$5:$B$510=A291),Receipts!$C$5:$C$510),""))</f>
        <v/>
      </c>
      <c r="N291" s="6" t="str">
        <f t="shared" ca="1" si="18"/>
        <v/>
      </c>
      <c r="O291" s="11" t="str">
        <f t="shared" ca="1" si="19"/>
        <v/>
      </c>
      <c r="P291" s="5"/>
    </row>
    <row r="292" spans="1:16" x14ac:dyDescent="0.25">
      <c r="A292" s="5"/>
      <c r="B292" s="5"/>
      <c r="C292" s="6" t="str">
        <f>IFERROR(INDEX(Suppliers!$B$5:$B$104,MATCH(B292,Suppliers!$A$5:$A$104,0)),"")</f>
        <v/>
      </c>
      <c r="D292" s="5"/>
      <c r="E292" s="5"/>
      <c r="F292" s="7"/>
      <c r="G292" s="7"/>
      <c r="H292" s="8"/>
      <c r="I292" s="9"/>
      <c r="J292" s="10" t="str">
        <f t="shared" si="16"/>
        <v/>
      </c>
      <c r="K292" s="11" t="str">
        <f>IF(A292="","",SUMIF(Receipts!$B$5:$B$510,A292,Receipts!$D$5:$D$510))</f>
        <v/>
      </c>
      <c r="L292" s="11" t="str">
        <f t="shared" si="17"/>
        <v/>
      </c>
      <c r="M292" s="12" t="str">
        <f>IF(COUNTIF(Receipts!$B$5:$B$510,A292)=0,"",IFERROR(LOOKUP(2,1/(Receipts!$B$5:$B$510=A292),Receipts!$C$5:$C$510),""))</f>
        <v/>
      </c>
      <c r="N292" s="6" t="str">
        <f t="shared" ca="1" si="18"/>
        <v/>
      </c>
      <c r="O292" s="11" t="str">
        <f t="shared" ca="1" si="19"/>
        <v/>
      </c>
      <c r="P292" s="5"/>
    </row>
    <row r="293" spans="1:16" x14ac:dyDescent="0.25">
      <c r="A293" s="5"/>
      <c r="B293" s="5"/>
      <c r="C293" s="6" t="str">
        <f>IFERROR(INDEX(Suppliers!$B$5:$B$104,MATCH(B293,Suppliers!$A$5:$A$104,0)),"")</f>
        <v/>
      </c>
      <c r="D293" s="5"/>
      <c r="E293" s="5"/>
      <c r="F293" s="7"/>
      <c r="G293" s="7"/>
      <c r="H293" s="8"/>
      <c r="I293" s="9"/>
      <c r="J293" s="10" t="str">
        <f t="shared" si="16"/>
        <v/>
      </c>
      <c r="K293" s="11" t="str">
        <f>IF(A293="","",SUMIF(Receipts!$B$5:$B$510,A293,Receipts!$D$5:$D$510))</f>
        <v/>
      </c>
      <c r="L293" s="11" t="str">
        <f t="shared" si="17"/>
        <v/>
      </c>
      <c r="M293" s="12" t="str">
        <f>IF(COUNTIF(Receipts!$B$5:$B$510,A293)=0,"",IFERROR(LOOKUP(2,1/(Receipts!$B$5:$B$510=A293),Receipts!$C$5:$C$510),""))</f>
        <v/>
      </c>
      <c r="N293" s="6" t="str">
        <f t="shared" ca="1" si="18"/>
        <v/>
      </c>
      <c r="O293" s="11" t="str">
        <f t="shared" ca="1" si="19"/>
        <v/>
      </c>
      <c r="P293" s="5"/>
    </row>
    <row r="294" spans="1:16" x14ac:dyDescent="0.25">
      <c r="A294" s="5"/>
      <c r="B294" s="5"/>
      <c r="C294" s="6" t="str">
        <f>IFERROR(INDEX(Suppliers!$B$5:$B$104,MATCH(B294,Suppliers!$A$5:$A$104,0)),"")</f>
        <v/>
      </c>
      <c r="D294" s="5"/>
      <c r="E294" s="5"/>
      <c r="F294" s="7"/>
      <c r="G294" s="7"/>
      <c r="H294" s="8"/>
      <c r="I294" s="9"/>
      <c r="J294" s="10" t="str">
        <f t="shared" si="16"/>
        <v/>
      </c>
      <c r="K294" s="11" t="str">
        <f>IF(A294="","",SUMIF(Receipts!$B$5:$B$510,A294,Receipts!$D$5:$D$510))</f>
        <v/>
      </c>
      <c r="L294" s="11" t="str">
        <f t="shared" si="17"/>
        <v/>
      </c>
      <c r="M294" s="12" t="str">
        <f>IF(COUNTIF(Receipts!$B$5:$B$510,A294)=0,"",IFERROR(LOOKUP(2,1/(Receipts!$B$5:$B$510=A294),Receipts!$C$5:$C$510),""))</f>
        <v/>
      </c>
      <c r="N294" s="6" t="str">
        <f t="shared" ca="1" si="18"/>
        <v/>
      </c>
      <c r="O294" s="11" t="str">
        <f t="shared" ca="1" si="19"/>
        <v/>
      </c>
      <c r="P294" s="5"/>
    </row>
    <row r="295" spans="1:16" x14ac:dyDescent="0.25">
      <c r="A295" s="5"/>
      <c r="B295" s="5"/>
      <c r="C295" s="6" t="str">
        <f>IFERROR(INDEX(Suppliers!$B$5:$B$104,MATCH(B295,Suppliers!$A$5:$A$104,0)),"")</f>
        <v/>
      </c>
      <c r="D295" s="5"/>
      <c r="E295" s="5"/>
      <c r="F295" s="7"/>
      <c r="G295" s="7"/>
      <c r="H295" s="8"/>
      <c r="I295" s="9"/>
      <c r="J295" s="10" t="str">
        <f t="shared" si="16"/>
        <v/>
      </c>
      <c r="K295" s="11" t="str">
        <f>IF(A295="","",SUMIF(Receipts!$B$5:$B$510,A295,Receipts!$D$5:$D$510))</f>
        <v/>
      </c>
      <c r="L295" s="11" t="str">
        <f t="shared" si="17"/>
        <v/>
      </c>
      <c r="M295" s="12" t="str">
        <f>IF(COUNTIF(Receipts!$B$5:$B$510,A295)=0,"",IFERROR(LOOKUP(2,1/(Receipts!$B$5:$B$510=A295),Receipts!$C$5:$C$510),""))</f>
        <v/>
      </c>
      <c r="N295" s="6" t="str">
        <f t="shared" ca="1" si="18"/>
        <v/>
      </c>
      <c r="O295" s="11" t="str">
        <f t="shared" ca="1" si="19"/>
        <v/>
      </c>
      <c r="P295" s="5"/>
    </row>
    <row r="296" spans="1:16" x14ac:dyDescent="0.25">
      <c r="A296" s="5"/>
      <c r="B296" s="5"/>
      <c r="C296" s="6" t="str">
        <f>IFERROR(INDEX(Suppliers!$B$5:$B$104,MATCH(B296,Suppliers!$A$5:$A$104,0)),"")</f>
        <v/>
      </c>
      <c r="D296" s="5"/>
      <c r="E296" s="5"/>
      <c r="F296" s="7"/>
      <c r="G296" s="7"/>
      <c r="H296" s="8"/>
      <c r="I296" s="9"/>
      <c r="J296" s="10" t="str">
        <f t="shared" si="16"/>
        <v/>
      </c>
      <c r="K296" s="11" t="str">
        <f>IF(A296="","",SUMIF(Receipts!$B$5:$B$510,A296,Receipts!$D$5:$D$510))</f>
        <v/>
      </c>
      <c r="L296" s="11" t="str">
        <f t="shared" si="17"/>
        <v/>
      </c>
      <c r="M296" s="12" t="str">
        <f>IF(COUNTIF(Receipts!$B$5:$B$510,A296)=0,"",IFERROR(LOOKUP(2,1/(Receipts!$B$5:$B$510=A296),Receipts!$C$5:$C$510),""))</f>
        <v/>
      </c>
      <c r="N296" s="6" t="str">
        <f t="shared" ca="1" si="18"/>
        <v/>
      </c>
      <c r="O296" s="11" t="str">
        <f t="shared" ca="1" si="19"/>
        <v/>
      </c>
      <c r="P296" s="5"/>
    </row>
    <row r="297" spans="1:16" x14ac:dyDescent="0.25">
      <c r="A297" s="5"/>
      <c r="B297" s="5"/>
      <c r="C297" s="6" t="str">
        <f>IFERROR(INDEX(Suppliers!$B$5:$B$104,MATCH(B297,Suppliers!$A$5:$A$104,0)),"")</f>
        <v/>
      </c>
      <c r="D297" s="5"/>
      <c r="E297" s="5"/>
      <c r="F297" s="7"/>
      <c r="G297" s="7"/>
      <c r="H297" s="8"/>
      <c r="I297" s="9"/>
      <c r="J297" s="10" t="str">
        <f t="shared" si="16"/>
        <v/>
      </c>
      <c r="K297" s="11" t="str">
        <f>IF(A297="","",SUMIF(Receipts!$B$5:$B$510,A297,Receipts!$D$5:$D$510))</f>
        <v/>
      </c>
      <c r="L297" s="11" t="str">
        <f t="shared" si="17"/>
        <v/>
      </c>
      <c r="M297" s="12" t="str">
        <f>IF(COUNTIF(Receipts!$B$5:$B$510,A297)=0,"",IFERROR(LOOKUP(2,1/(Receipts!$B$5:$B$510=A297),Receipts!$C$5:$C$510),""))</f>
        <v/>
      </c>
      <c r="N297" s="6" t="str">
        <f t="shared" ca="1" si="18"/>
        <v/>
      </c>
      <c r="O297" s="11" t="str">
        <f t="shared" ca="1" si="19"/>
        <v/>
      </c>
      <c r="P297" s="5"/>
    </row>
    <row r="298" spans="1:16" x14ac:dyDescent="0.25">
      <c r="A298" s="5"/>
      <c r="B298" s="5"/>
      <c r="C298" s="6" t="str">
        <f>IFERROR(INDEX(Suppliers!$B$5:$B$104,MATCH(B298,Suppliers!$A$5:$A$104,0)),"")</f>
        <v/>
      </c>
      <c r="D298" s="5"/>
      <c r="E298" s="5"/>
      <c r="F298" s="7"/>
      <c r="G298" s="7"/>
      <c r="H298" s="8"/>
      <c r="I298" s="9"/>
      <c r="J298" s="10" t="str">
        <f t="shared" si="16"/>
        <v/>
      </c>
      <c r="K298" s="11" t="str">
        <f>IF(A298="","",SUMIF(Receipts!$B$5:$B$510,A298,Receipts!$D$5:$D$510))</f>
        <v/>
      </c>
      <c r="L298" s="11" t="str">
        <f t="shared" si="17"/>
        <v/>
      </c>
      <c r="M298" s="12" t="str">
        <f>IF(COUNTIF(Receipts!$B$5:$B$510,A298)=0,"",IFERROR(LOOKUP(2,1/(Receipts!$B$5:$B$510=A298),Receipts!$C$5:$C$510),""))</f>
        <v/>
      </c>
      <c r="N298" s="6" t="str">
        <f t="shared" ca="1" si="18"/>
        <v/>
      </c>
      <c r="O298" s="11" t="str">
        <f t="shared" ca="1" si="19"/>
        <v/>
      </c>
      <c r="P298" s="5"/>
    </row>
    <row r="299" spans="1:16" x14ac:dyDescent="0.25">
      <c r="A299" s="5"/>
      <c r="B299" s="5"/>
      <c r="C299" s="6" t="str">
        <f>IFERROR(INDEX(Suppliers!$B$5:$B$104,MATCH(B299,Suppliers!$A$5:$A$104,0)),"")</f>
        <v/>
      </c>
      <c r="D299" s="5"/>
      <c r="E299" s="5"/>
      <c r="F299" s="7"/>
      <c r="G299" s="7"/>
      <c r="H299" s="8"/>
      <c r="I299" s="9"/>
      <c r="J299" s="10" t="str">
        <f t="shared" si="16"/>
        <v/>
      </c>
      <c r="K299" s="11" t="str">
        <f>IF(A299="","",SUMIF(Receipts!$B$5:$B$510,A299,Receipts!$D$5:$D$510))</f>
        <v/>
      </c>
      <c r="L299" s="11" t="str">
        <f t="shared" si="17"/>
        <v/>
      </c>
      <c r="M299" s="12" t="str">
        <f>IF(COUNTIF(Receipts!$B$5:$B$510,A299)=0,"",IFERROR(LOOKUP(2,1/(Receipts!$B$5:$B$510=A299),Receipts!$C$5:$C$510),""))</f>
        <v/>
      </c>
      <c r="N299" s="6" t="str">
        <f t="shared" ca="1" si="18"/>
        <v/>
      </c>
      <c r="O299" s="11" t="str">
        <f t="shared" ca="1" si="19"/>
        <v/>
      </c>
      <c r="P299" s="5"/>
    </row>
    <row r="300" spans="1:16" x14ac:dyDescent="0.25">
      <c r="A300" s="5"/>
      <c r="B300" s="5"/>
      <c r="C300" s="6" t="str">
        <f>IFERROR(INDEX(Suppliers!$B$5:$B$104,MATCH(B300,Suppliers!$A$5:$A$104,0)),"")</f>
        <v/>
      </c>
      <c r="D300" s="5"/>
      <c r="E300" s="5"/>
      <c r="F300" s="7"/>
      <c r="G300" s="7"/>
      <c r="H300" s="8"/>
      <c r="I300" s="9"/>
      <c r="J300" s="10" t="str">
        <f t="shared" si="16"/>
        <v/>
      </c>
      <c r="K300" s="11" t="str">
        <f>IF(A300="","",SUMIF(Receipts!$B$5:$B$510,A300,Receipts!$D$5:$D$510))</f>
        <v/>
      </c>
      <c r="L300" s="11" t="str">
        <f t="shared" si="17"/>
        <v/>
      </c>
      <c r="M300" s="12" t="str">
        <f>IF(COUNTIF(Receipts!$B$5:$B$510,A300)=0,"",IFERROR(LOOKUP(2,1/(Receipts!$B$5:$B$510=A300),Receipts!$C$5:$C$510),""))</f>
        <v/>
      </c>
      <c r="N300" s="6" t="str">
        <f t="shared" ca="1" si="18"/>
        <v/>
      </c>
      <c r="O300" s="11" t="str">
        <f t="shared" ca="1" si="19"/>
        <v/>
      </c>
      <c r="P300" s="5"/>
    </row>
    <row r="301" spans="1:16" x14ac:dyDescent="0.25">
      <c r="A301" s="5"/>
      <c r="B301" s="5"/>
      <c r="C301" s="6" t="str">
        <f>IFERROR(INDEX(Suppliers!$B$5:$B$104,MATCH(B301,Suppliers!$A$5:$A$104,0)),"")</f>
        <v/>
      </c>
      <c r="D301" s="5"/>
      <c r="E301" s="5"/>
      <c r="F301" s="7"/>
      <c r="G301" s="7"/>
      <c r="H301" s="8"/>
      <c r="I301" s="9"/>
      <c r="J301" s="10" t="str">
        <f t="shared" si="16"/>
        <v/>
      </c>
      <c r="K301" s="11" t="str">
        <f>IF(A301="","",SUMIF(Receipts!$B$5:$B$510,A301,Receipts!$D$5:$D$510))</f>
        <v/>
      </c>
      <c r="L301" s="11" t="str">
        <f t="shared" si="17"/>
        <v/>
      </c>
      <c r="M301" s="12" t="str">
        <f>IF(COUNTIF(Receipts!$B$5:$B$510,A301)=0,"",IFERROR(LOOKUP(2,1/(Receipts!$B$5:$B$510=A301),Receipts!$C$5:$C$510),""))</f>
        <v/>
      </c>
      <c r="N301" s="6" t="str">
        <f t="shared" ca="1" si="18"/>
        <v/>
      </c>
      <c r="O301" s="11" t="str">
        <f t="shared" ca="1" si="19"/>
        <v/>
      </c>
      <c r="P301" s="5"/>
    </row>
    <row r="302" spans="1:16" x14ac:dyDescent="0.25">
      <c r="A302" s="5"/>
      <c r="B302" s="5"/>
      <c r="C302" s="6" t="str">
        <f>IFERROR(INDEX(Suppliers!$B$5:$B$104,MATCH(B302,Suppliers!$A$5:$A$104,0)),"")</f>
        <v/>
      </c>
      <c r="D302" s="5"/>
      <c r="E302" s="5"/>
      <c r="F302" s="7"/>
      <c r="G302" s="7"/>
      <c r="H302" s="8"/>
      <c r="I302" s="9"/>
      <c r="J302" s="10" t="str">
        <f t="shared" si="16"/>
        <v/>
      </c>
      <c r="K302" s="11" t="str">
        <f>IF(A302="","",SUMIF(Receipts!$B$5:$B$510,A302,Receipts!$D$5:$D$510))</f>
        <v/>
      </c>
      <c r="L302" s="11" t="str">
        <f t="shared" si="17"/>
        <v/>
      </c>
      <c r="M302" s="12" t="str">
        <f>IF(COUNTIF(Receipts!$B$5:$B$510,A302)=0,"",IFERROR(LOOKUP(2,1/(Receipts!$B$5:$B$510=A302),Receipts!$C$5:$C$510),""))</f>
        <v/>
      </c>
      <c r="N302" s="6" t="str">
        <f t="shared" ca="1" si="18"/>
        <v/>
      </c>
      <c r="O302" s="11" t="str">
        <f t="shared" ca="1" si="19"/>
        <v/>
      </c>
      <c r="P302" s="5"/>
    </row>
    <row r="303" spans="1:16" x14ac:dyDescent="0.25">
      <c r="A303" s="5"/>
      <c r="B303" s="5"/>
      <c r="C303" s="6" t="str">
        <f>IFERROR(INDEX(Suppliers!$B$5:$B$104,MATCH(B303,Suppliers!$A$5:$A$104,0)),"")</f>
        <v/>
      </c>
      <c r="D303" s="5"/>
      <c r="E303" s="5"/>
      <c r="F303" s="7"/>
      <c r="G303" s="7"/>
      <c r="H303" s="8"/>
      <c r="I303" s="9"/>
      <c r="J303" s="10" t="str">
        <f t="shared" si="16"/>
        <v/>
      </c>
      <c r="K303" s="11" t="str">
        <f>IF(A303="","",SUMIF(Receipts!$B$5:$B$510,A303,Receipts!$D$5:$D$510))</f>
        <v/>
      </c>
      <c r="L303" s="11" t="str">
        <f t="shared" si="17"/>
        <v/>
      </c>
      <c r="M303" s="12" t="str">
        <f>IF(COUNTIF(Receipts!$B$5:$B$510,A303)=0,"",IFERROR(LOOKUP(2,1/(Receipts!$B$5:$B$510=A303),Receipts!$C$5:$C$510),""))</f>
        <v/>
      </c>
      <c r="N303" s="6" t="str">
        <f t="shared" ca="1" si="18"/>
        <v/>
      </c>
      <c r="O303" s="11" t="str">
        <f t="shared" ca="1" si="19"/>
        <v/>
      </c>
      <c r="P303" s="5"/>
    </row>
    <row r="304" spans="1:16" x14ac:dyDescent="0.25">
      <c r="A304" s="5"/>
      <c r="B304" s="5"/>
      <c r="C304" s="6" t="str">
        <f>IFERROR(INDEX(Suppliers!$B$5:$B$104,MATCH(B304,Suppliers!$A$5:$A$104,0)),"")</f>
        <v/>
      </c>
      <c r="D304" s="5"/>
      <c r="E304" s="5"/>
      <c r="F304" s="7"/>
      <c r="G304" s="7"/>
      <c r="H304" s="8"/>
      <c r="I304" s="9"/>
      <c r="J304" s="10" t="str">
        <f t="shared" si="16"/>
        <v/>
      </c>
      <c r="K304" s="11" t="str">
        <f>IF(A304="","",SUMIF(Receipts!$B$5:$B$510,A304,Receipts!$D$5:$D$510))</f>
        <v/>
      </c>
      <c r="L304" s="11" t="str">
        <f t="shared" si="17"/>
        <v/>
      </c>
      <c r="M304" s="12" t="str">
        <f>IF(COUNTIF(Receipts!$B$5:$B$510,A304)=0,"",IFERROR(LOOKUP(2,1/(Receipts!$B$5:$B$510=A304),Receipts!$C$5:$C$510),""))</f>
        <v/>
      </c>
      <c r="N304" s="6" t="str">
        <f t="shared" ca="1" si="18"/>
        <v/>
      </c>
      <c r="O304" s="11" t="str">
        <f t="shared" ca="1" si="19"/>
        <v/>
      </c>
      <c r="P304" s="5"/>
    </row>
    <row r="305" spans="1:16" x14ac:dyDescent="0.25">
      <c r="A305" s="5"/>
      <c r="B305" s="5"/>
      <c r="C305" s="6" t="str">
        <f>IFERROR(INDEX(Suppliers!$B$5:$B$104,MATCH(B305,Suppliers!$A$5:$A$104,0)),"")</f>
        <v/>
      </c>
      <c r="D305" s="5"/>
      <c r="E305" s="5"/>
      <c r="F305" s="7"/>
      <c r="G305" s="7"/>
      <c r="H305" s="8"/>
      <c r="I305" s="9"/>
      <c r="J305" s="10" t="str">
        <f t="shared" si="16"/>
        <v/>
      </c>
      <c r="K305" s="11" t="str">
        <f>IF(A305="","",SUMIF(Receipts!$B$5:$B$510,A305,Receipts!$D$5:$D$510))</f>
        <v/>
      </c>
      <c r="L305" s="11" t="str">
        <f t="shared" si="17"/>
        <v/>
      </c>
      <c r="M305" s="12" t="str">
        <f>IF(COUNTIF(Receipts!$B$5:$B$510,A305)=0,"",IFERROR(LOOKUP(2,1/(Receipts!$B$5:$B$510=A305),Receipts!$C$5:$C$510),""))</f>
        <v/>
      </c>
      <c r="N305" s="6" t="str">
        <f t="shared" ca="1" si="18"/>
        <v/>
      </c>
      <c r="O305" s="11" t="str">
        <f t="shared" ca="1" si="19"/>
        <v/>
      </c>
      <c r="P305" s="5"/>
    </row>
    <row r="306" spans="1:16" x14ac:dyDescent="0.25">
      <c r="A306" s="5"/>
      <c r="B306" s="5"/>
      <c r="C306" s="6" t="str">
        <f>IFERROR(INDEX(Suppliers!$B$5:$B$104,MATCH(B306,Suppliers!$A$5:$A$104,0)),"")</f>
        <v/>
      </c>
      <c r="D306" s="5"/>
      <c r="E306" s="5"/>
      <c r="F306" s="7"/>
      <c r="G306" s="7"/>
      <c r="H306" s="8"/>
      <c r="I306" s="9"/>
      <c r="J306" s="10" t="str">
        <f t="shared" si="16"/>
        <v/>
      </c>
      <c r="K306" s="11" t="str">
        <f>IF(A306="","",SUMIF(Receipts!$B$5:$B$510,A306,Receipts!$D$5:$D$510))</f>
        <v/>
      </c>
      <c r="L306" s="11" t="str">
        <f t="shared" si="17"/>
        <v/>
      </c>
      <c r="M306" s="12" t="str">
        <f>IF(COUNTIF(Receipts!$B$5:$B$510,A306)=0,"",IFERROR(LOOKUP(2,1/(Receipts!$B$5:$B$510=A306),Receipts!$C$5:$C$510),""))</f>
        <v/>
      </c>
      <c r="N306" s="6" t="str">
        <f t="shared" ca="1" si="18"/>
        <v/>
      </c>
      <c r="O306" s="11" t="str">
        <f t="shared" ca="1" si="19"/>
        <v/>
      </c>
      <c r="P306" s="5"/>
    </row>
    <row r="307" spans="1:16" x14ac:dyDescent="0.25">
      <c r="A307" s="5"/>
      <c r="B307" s="5"/>
      <c r="C307" s="6" t="str">
        <f>IFERROR(INDEX(Suppliers!$B$5:$B$104,MATCH(B307,Suppliers!$A$5:$A$104,0)),"")</f>
        <v/>
      </c>
      <c r="D307" s="5"/>
      <c r="E307" s="5"/>
      <c r="F307" s="7"/>
      <c r="G307" s="7"/>
      <c r="H307" s="8"/>
      <c r="I307" s="9"/>
      <c r="J307" s="10" t="str">
        <f t="shared" si="16"/>
        <v/>
      </c>
      <c r="K307" s="11" t="str">
        <f>IF(A307="","",SUMIF(Receipts!$B$5:$B$510,A307,Receipts!$D$5:$D$510))</f>
        <v/>
      </c>
      <c r="L307" s="11" t="str">
        <f t="shared" si="17"/>
        <v/>
      </c>
      <c r="M307" s="12" t="str">
        <f>IF(COUNTIF(Receipts!$B$5:$B$510,A307)=0,"",IFERROR(LOOKUP(2,1/(Receipts!$B$5:$B$510=A307),Receipts!$C$5:$C$510),""))</f>
        <v/>
      </c>
      <c r="N307" s="6" t="str">
        <f t="shared" ca="1" si="18"/>
        <v/>
      </c>
      <c r="O307" s="11" t="str">
        <f t="shared" ca="1" si="19"/>
        <v/>
      </c>
      <c r="P307" s="5"/>
    </row>
    <row r="308" spans="1:16" x14ac:dyDescent="0.25">
      <c r="A308" s="5"/>
      <c r="B308" s="5"/>
      <c r="C308" s="6" t="str">
        <f>IFERROR(INDEX(Suppliers!$B$5:$B$104,MATCH(B308,Suppliers!$A$5:$A$104,0)),"")</f>
        <v/>
      </c>
      <c r="D308" s="5"/>
      <c r="E308" s="5"/>
      <c r="F308" s="7"/>
      <c r="G308" s="7"/>
      <c r="H308" s="8"/>
      <c r="I308" s="9"/>
      <c r="J308" s="10" t="str">
        <f t="shared" si="16"/>
        <v/>
      </c>
      <c r="K308" s="11" t="str">
        <f>IF(A308="","",SUMIF(Receipts!$B$5:$B$510,A308,Receipts!$D$5:$D$510))</f>
        <v/>
      </c>
      <c r="L308" s="11" t="str">
        <f t="shared" si="17"/>
        <v/>
      </c>
      <c r="M308" s="12" t="str">
        <f>IF(COUNTIF(Receipts!$B$5:$B$510,A308)=0,"",IFERROR(LOOKUP(2,1/(Receipts!$B$5:$B$510=A308),Receipts!$C$5:$C$510),""))</f>
        <v/>
      </c>
      <c r="N308" s="6" t="str">
        <f t="shared" ca="1" si="18"/>
        <v/>
      </c>
      <c r="O308" s="11" t="str">
        <f t="shared" ca="1" si="19"/>
        <v/>
      </c>
      <c r="P308" s="5"/>
    </row>
    <row r="309" spans="1:16" x14ac:dyDescent="0.25">
      <c r="A309" s="5"/>
      <c r="B309" s="5"/>
      <c r="C309" s="6" t="str">
        <f>IFERROR(INDEX(Suppliers!$B$5:$B$104,MATCH(B309,Suppliers!$A$5:$A$104,0)),"")</f>
        <v/>
      </c>
      <c r="D309" s="5"/>
      <c r="E309" s="5"/>
      <c r="F309" s="7"/>
      <c r="G309" s="7"/>
      <c r="H309" s="8"/>
      <c r="I309" s="9"/>
      <c r="J309" s="10" t="str">
        <f t="shared" si="16"/>
        <v/>
      </c>
      <c r="K309" s="11" t="str">
        <f>IF(A309="","",SUMIF(Receipts!$B$5:$B$510,A309,Receipts!$D$5:$D$510))</f>
        <v/>
      </c>
      <c r="L309" s="11" t="str">
        <f t="shared" si="17"/>
        <v/>
      </c>
      <c r="M309" s="12" t="str">
        <f>IF(COUNTIF(Receipts!$B$5:$B$510,A309)=0,"",IFERROR(LOOKUP(2,1/(Receipts!$B$5:$B$510=A309),Receipts!$C$5:$C$510),""))</f>
        <v/>
      </c>
      <c r="N309" s="6" t="str">
        <f t="shared" ca="1" si="18"/>
        <v/>
      </c>
      <c r="O309" s="11" t="str">
        <f t="shared" ca="1" si="19"/>
        <v/>
      </c>
      <c r="P309" s="5"/>
    </row>
    <row r="310" spans="1:16" x14ac:dyDescent="0.25">
      <c r="A310" s="5"/>
      <c r="B310" s="5"/>
      <c r="C310" s="6" t="str">
        <f>IFERROR(INDEX(Suppliers!$B$5:$B$104,MATCH(B310,Suppliers!$A$5:$A$104,0)),"")</f>
        <v/>
      </c>
      <c r="D310" s="5"/>
      <c r="E310" s="5"/>
      <c r="F310" s="7"/>
      <c r="G310" s="7"/>
      <c r="H310" s="8"/>
      <c r="I310" s="9"/>
      <c r="J310" s="10" t="str">
        <f t="shared" si="16"/>
        <v/>
      </c>
      <c r="K310" s="11" t="str">
        <f>IF(A310="","",SUMIF(Receipts!$B$5:$B$510,A310,Receipts!$D$5:$D$510))</f>
        <v/>
      </c>
      <c r="L310" s="11" t="str">
        <f t="shared" si="17"/>
        <v/>
      </c>
      <c r="M310" s="12" t="str">
        <f>IF(COUNTIF(Receipts!$B$5:$B$510,A310)=0,"",IFERROR(LOOKUP(2,1/(Receipts!$B$5:$B$510=A310),Receipts!$C$5:$C$510),""))</f>
        <v/>
      </c>
      <c r="N310" s="6" t="str">
        <f t="shared" ca="1" si="18"/>
        <v/>
      </c>
      <c r="O310" s="11" t="str">
        <f t="shared" ca="1" si="19"/>
        <v/>
      </c>
      <c r="P310" s="5"/>
    </row>
    <row r="311" spans="1:16" x14ac:dyDescent="0.25">
      <c r="A311" s="5"/>
      <c r="B311" s="5"/>
      <c r="C311" s="6" t="str">
        <f>IFERROR(INDEX(Suppliers!$B$5:$B$104,MATCH(B311,Suppliers!$A$5:$A$104,0)),"")</f>
        <v/>
      </c>
      <c r="D311" s="5"/>
      <c r="E311" s="5"/>
      <c r="F311" s="7"/>
      <c r="G311" s="7"/>
      <c r="H311" s="8"/>
      <c r="I311" s="9"/>
      <c r="J311" s="10" t="str">
        <f t="shared" si="16"/>
        <v/>
      </c>
      <c r="K311" s="11" t="str">
        <f>IF(A311="","",SUMIF(Receipts!$B$5:$B$510,A311,Receipts!$D$5:$D$510))</f>
        <v/>
      </c>
      <c r="L311" s="11" t="str">
        <f t="shared" si="17"/>
        <v/>
      </c>
      <c r="M311" s="12" t="str">
        <f>IF(COUNTIF(Receipts!$B$5:$B$510,A311)=0,"",IFERROR(LOOKUP(2,1/(Receipts!$B$5:$B$510=A311),Receipts!$C$5:$C$510),""))</f>
        <v/>
      </c>
      <c r="N311" s="6" t="str">
        <f t="shared" ca="1" si="18"/>
        <v/>
      </c>
      <c r="O311" s="11" t="str">
        <f t="shared" ca="1" si="19"/>
        <v/>
      </c>
      <c r="P311" s="5"/>
    </row>
    <row r="312" spans="1:16" x14ac:dyDescent="0.25">
      <c r="A312" s="5"/>
      <c r="B312" s="5"/>
      <c r="C312" s="6" t="str">
        <f>IFERROR(INDEX(Suppliers!$B$5:$B$104,MATCH(B312,Suppliers!$A$5:$A$104,0)),"")</f>
        <v/>
      </c>
      <c r="D312" s="5"/>
      <c r="E312" s="5"/>
      <c r="F312" s="7"/>
      <c r="G312" s="7"/>
      <c r="H312" s="8"/>
      <c r="I312" s="9"/>
      <c r="J312" s="10" t="str">
        <f t="shared" si="16"/>
        <v/>
      </c>
      <c r="K312" s="11" t="str">
        <f>IF(A312="","",SUMIF(Receipts!$B$5:$B$510,A312,Receipts!$D$5:$D$510))</f>
        <v/>
      </c>
      <c r="L312" s="11" t="str">
        <f t="shared" si="17"/>
        <v/>
      </c>
      <c r="M312" s="12" t="str">
        <f>IF(COUNTIF(Receipts!$B$5:$B$510,A312)=0,"",IFERROR(LOOKUP(2,1/(Receipts!$B$5:$B$510=A312),Receipts!$C$5:$C$510),""))</f>
        <v/>
      </c>
      <c r="N312" s="6" t="str">
        <f t="shared" ca="1" si="18"/>
        <v/>
      </c>
      <c r="O312" s="11" t="str">
        <f t="shared" ca="1" si="19"/>
        <v/>
      </c>
      <c r="P312" s="5"/>
    </row>
    <row r="313" spans="1:16" x14ac:dyDescent="0.25">
      <c r="A313" s="5"/>
      <c r="B313" s="5"/>
      <c r="C313" s="6" t="str">
        <f>IFERROR(INDEX(Suppliers!$B$5:$B$104,MATCH(B313,Suppliers!$A$5:$A$104,0)),"")</f>
        <v/>
      </c>
      <c r="D313" s="5"/>
      <c r="E313" s="5"/>
      <c r="F313" s="7"/>
      <c r="G313" s="7"/>
      <c r="H313" s="8"/>
      <c r="I313" s="9"/>
      <c r="J313" s="10" t="str">
        <f t="shared" si="16"/>
        <v/>
      </c>
      <c r="K313" s="11" t="str">
        <f>IF(A313="","",SUMIF(Receipts!$B$5:$B$510,A313,Receipts!$D$5:$D$510))</f>
        <v/>
      </c>
      <c r="L313" s="11" t="str">
        <f t="shared" si="17"/>
        <v/>
      </c>
      <c r="M313" s="12" t="str">
        <f>IF(COUNTIF(Receipts!$B$5:$B$510,A313)=0,"",IFERROR(LOOKUP(2,1/(Receipts!$B$5:$B$510=A313),Receipts!$C$5:$C$510),""))</f>
        <v/>
      </c>
      <c r="N313" s="6" t="str">
        <f t="shared" ca="1" si="18"/>
        <v/>
      </c>
      <c r="O313" s="11" t="str">
        <f t="shared" ca="1" si="19"/>
        <v/>
      </c>
      <c r="P313" s="5"/>
    </row>
    <row r="314" spans="1:16" x14ac:dyDescent="0.25">
      <c r="A314" s="5"/>
      <c r="B314" s="5"/>
      <c r="C314" s="6" t="str">
        <f>IFERROR(INDEX(Suppliers!$B$5:$B$104,MATCH(B314,Suppliers!$A$5:$A$104,0)),"")</f>
        <v/>
      </c>
      <c r="D314" s="5"/>
      <c r="E314" s="5"/>
      <c r="F314" s="7"/>
      <c r="G314" s="7"/>
      <c r="H314" s="8"/>
      <c r="I314" s="9"/>
      <c r="J314" s="10" t="str">
        <f t="shared" si="16"/>
        <v/>
      </c>
      <c r="K314" s="11" t="str">
        <f>IF(A314="","",SUMIF(Receipts!$B$5:$B$510,A314,Receipts!$D$5:$D$510))</f>
        <v/>
      </c>
      <c r="L314" s="11" t="str">
        <f t="shared" si="17"/>
        <v/>
      </c>
      <c r="M314" s="12" t="str">
        <f>IF(COUNTIF(Receipts!$B$5:$B$510,A314)=0,"",IFERROR(LOOKUP(2,1/(Receipts!$B$5:$B$510=A314),Receipts!$C$5:$C$510),""))</f>
        <v/>
      </c>
      <c r="N314" s="6" t="str">
        <f t="shared" ca="1" si="18"/>
        <v/>
      </c>
      <c r="O314" s="11" t="str">
        <f t="shared" ca="1" si="19"/>
        <v/>
      </c>
      <c r="P314" s="5"/>
    </row>
    <row r="315" spans="1:16" x14ac:dyDescent="0.25">
      <c r="A315" s="5"/>
      <c r="B315" s="5"/>
      <c r="C315" s="6" t="str">
        <f>IFERROR(INDEX(Suppliers!$B$5:$B$104,MATCH(B315,Suppliers!$A$5:$A$104,0)),"")</f>
        <v/>
      </c>
      <c r="D315" s="5"/>
      <c r="E315" s="5"/>
      <c r="F315" s="7"/>
      <c r="G315" s="7"/>
      <c r="H315" s="8"/>
      <c r="I315" s="9"/>
      <c r="J315" s="10" t="str">
        <f t="shared" si="16"/>
        <v/>
      </c>
      <c r="K315" s="11" t="str">
        <f>IF(A315="","",SUMIF(Receipts!$B$5:$B$510,A315,Receipts!$D$5:$D$510))</f>
        <v/>
      </c>
      <c r="L315" s="11" t="str">
        <f t="shared" si="17"/>
        <v/>
      </c>
      <c r="M315" s="12" t="str">
        <f>IF(COUNTIF(Receipts!$B$5:$B$510,A315)=0,"",IFERROR(LOOKUP(2,1/(Receipts!$B$5:$B$510=A315),Receipts!$C$5:$C$510),""))</f>
        <v/>
      </c>
      <c r="N315" s="6" t="str">
        <f t="shared" ca="1" si="18"/>
        <v/>
      </c>
      <c r="O315" s="11" t="str">
        <f t="shared" ca="1" si="19"/>
        <v/>
      </c>
      <c r="P315" s="5"/>
    </row>
    <row r="316" spans="1:16" x14ac:dyDescent="0.25">
      <c r="A316" s="5"/>
      <c r="B316" s="5"/>
      <c r="C316" s="6" t="str">
        <f>IFERROR(INDEX(Suppliers!$B$5:$B$104,MATCH(B316,Suppliers!$A$5:$A$104,0)),"")</f>
        <v/>
      </c>
      <c r="D316" s="5"/>
      <c r="E316" s="5"/>
      <c r="F316" s="7"/>
      <c r="G316" s="7"/>
      <c r="H316" s="8"/>
      <c r="I316" s="9"/>
      <c r="J316" s="10" t="str">
        <f t="shared" si="16"/>
        <v/>
      </c>
      <c r="K316" s="11" t="str">
        <f>IF(A316="","",SUMIF(Receipts!$B$5:$B$510,A316,Receipts!$D$5:$D$510))</f>
        <v/>
      </c>
      <c r="L316" s="11" t="str">
        <f t="shared" si="17"/>
        <v/>
      </c>
      <c r="M316" s="12" t="str">
        <f>IF(COUNTIF(Receipts!$B$5:$B$510,A316)=0,"",IFERROR(LOOKUP(2,1/(Receipts!$B$5:$B$510=A316),Receipts!$C$5:$C$510),""))</f>
        <v/>
      </c>
      <c r="N316" s="6" t="str">
        <f t="shared" ca="1" si="18"/>
        <v/>
      </c>
      <c r="O316" s="11" t="str">
        <f t="shared" ca="1" si="19"/>
        <v/>
      </c>
      <c r="P316" s="5"/>
    </row>
    <row r="317" spans="1:16" x14ac:dyDescent="0.25">
      <c r="A317" s="5"/>
      <c r="B317" s="5"/>
      <c r="C317" s="6" t="str">
        <f>IFERROR(INDEX(Suppliers!$B$5:$B$104,MATCH(B317,Suppliers!$A$5:$A$104,0)),"")</f>
        <v/>
      </c>
      <c r="D317" s="5"/>
      <c r="E317" s="5"/>
      <c r="F317" s="7"/>
      <c r="G317" s="7"/>
      <c r="H317" s="8"/>
      <c r="I317" s="9"/>
      <c r="J317" s="10" t="str">
        <f t="shared" si="16"/>
        <v/>
      </c>
      <c r="K317" s="11" t="str">
        <f>IF(A317="","",SUMIF(Receipts!$B$5:$B$510,A317,Receipts!$D$5:$D$510))</f>
        <v/>
      </c>
      <c r="L317" s="11" t="str">
        <f t="shared" si="17"/>
        <v/>
      </c>
      <c r="M317" s="12" t="str">
        <f>IF(COUNTIF(Receipts!$B$5:$B$510,A317)=0,"",IFERROR(LOOKUP(2,1/(Receipts!$B$5:$B$510=A317),Receipts!$C$5:$C$510),""))</f>
        <v/>
      </c>
      <c r="N317" s="6" t="str">
        <f t="shared" ca="1" si="18"/>
        <v/>
      </c>
      <c r="O317" s="11" t="str">
        <f t="shared" ca="1" si="19"/>
        <v/>
      </c>
      <c r="P317" s="5"/>
    </row>
    <row r="318" spans="1:16" x14ac:dyDescent="0.25">
      <c r="A318" s="5"/>
      <c r="B318" s="5"/>
      <c r="C318" s="6" t="str">
        <f>IFERROR(INDEX(Suppliers!$B$5:$B$104,MATCH(B318,Suppliers!$A$5:$A$104,0)),"")</f>
        <v/>
      </c>
      <c r="D318" s="5"/>
      <c r="E318" s="5"/>
      <c r="F318" s="7"/>
      <c r="G318" s="7"/>
      <c r="H318" s="8"/>
      <c r="I318" s="9"/>
      <c r="J318" s="10" t="str">
        <f t="shared" si="16"/>
        <v/>
      </c>
      <c r="K318" s="11" t="str">
        <f>IF(A318="","",SUMIF(Receipts!$B$5:$B$510,A318,Receipts!$D$5:$D$510))</f>
        <v/>
      </c>
      <c r="L318" s="11" t="str">
        <f t="shared" si="17"/>
        <v/>
      </c>
      <c r="M318" s="12" t="str">
        <f>IF(COUNTIF(Receipts!$B$5:$B$510,A318)=0,"",IFERROR(LOOKUP(2,1/(Receipts!$B$5:$B$510=A318),Receipts!$C$5:$C$510),""))</f>
        <v/>
      </c>
      <c r="N318" s="6" t="str">
        <f t="shared" ca="1" si="18"/>
        <v/>
      </c>
      <c r="O318" s="11" t="str">
        <f t="shared" ca="1" si="19"/>
        <v/>
      </c>
      <c r="P318" s="5"/>
    </row>
    <row r="319" spans="1:16" x14ac:dyDescent="0.25">
      <c r="A319" s="5"/>
      <c r="B319" s="5"/>
      <c r="C319" s="6" t="str">
        <f>IFERROR(INDEX(Suppliers!$B$5:$B$104,MATCH(B319,Suppliers!$A$5:$A$104,0)),"")</f>
        <v/>
      </c>
      <c r="D319" s="5"/>
      <c r="E319" s="5"/>
      <c r="F319" s="7"/>
      <c r="G319" s="7"/>
      <c r="H319" s="8"/>
      <c r="I319" s="9"/>
      <c r="J319" s="10" t="str">
        <f t="shared" si="16"/>
        <v/>
      </c>
      <c r="K319" s="11" t="str">
        <f>IF(A319="","",SUMIF(Receipts!$B$5:$B$510,A319,Receipts!$D$5:$D$510))</f>
        <v/>
      </c>
      <c r="L319" s="11" t="str">
        <f t="shared" si="17"/>
        <v/>
      </c>
      <c r="M319" s="12" t="str">
        <f>IF(COUNTIF(Receipts!$B$5:$B$510,A319)=0,"",IFERROR(LOOKUP(2,1/(Receipts!$B$5:$B$510=A319),Receipts!$C$5:$C$510),""))</f>
        <v/>
      </c>
      <c r="N319" s="6" t="str">
        <f t="shared" ca="1" si="18"/>
        <v/>
      </c>
      <c r="O319" s="11" t="str">
        <f t="shared" ca="1" si="19"/>
        <v/>
      </c>
      <c r="P319" s="5"/>
    </row>
    <row r="320" spans="1:16" x14ac:dyDescent="0.25">
      <c r="A320" s="5"/>
      <c r="B320" s="5"/>
      <c r="C320" s="6" t="str">
        <f>IFERROR(INDEX(Suppliers!$B$5:$B$104,MATCH(B320,Suppliers!$A$5:$A$104,0)),"")</f>
        <v/>
      </c>
      <c r="D320" s="5"/>
      <c r="E320" s="5"/>
      <c r="F320" s="7"/>
      <c r="G320" s="7"/>
      <c r="H320" s="8"/>
      <c r="I320" s="9"/>
      <c r="J320" s="10" t="str">
        <f t="shared" si="16"/>
        <v/>
      </c>
      <c r="K320" s="11" t="str">
        <f>IF(A320="","",SUMIF(Receipts!$B$5:$B$510,A320,Receipts!$D$5:$D$510))</f>
        <v/>
      </c>
      <c r="L320" s="11" t="str">
        <f t="shared" si="17"/>
        <v/>
      </c>
      <c r="M320" s="12" t="str">
        <f>IF(COUNTIF(Receipts!$B$5:$B$510,A320)=0,"",IFERROR(LOOKUP(2,1/(Receipts!$B$5:$B$510=A320),Receipts!$C$5:$C$510),""))</f>
        <v/>
      </c>
      <c r="N320" s="6" t="str">
        <f t="shared" ca="1" si="18"/>
        <v/>
      </c>
      <c r="O320" s="11" t="str">
        <f t="shared" ca="1" si="19"/>
        <v/>
      </c>
      <c r="P320" s="5"/>
    </row>
    <row r="321" spans="1:16" x14ac:dyDescent="0.25">
      <c r="A321" s="5"/>
      <c r="B321" s="5"/>
      <c r="C321" s="6" t="str">
        <f>IFERROR(INDEX(Suppliers!$B$5:$B$104,MATCH(B321,Suppliers!$A$5:$A$104,0)),"")</f>
        <v/>
      </c>
      <c r="D321" s="5"/>
      <c r="E321" s="5"/>
      <c r="F321" s="7"/>
      <c r="G321" s="7"/>
      <c r="H321" s="8"/>
      <c r="I321" s="9"/>
      <c r="J321" s="10" t="str">
        <f t="shared" si="16"/>
        <v/>
      </c>
      <c r="K321" s="11" t="str">
        <f>IF(A321="","",SUMIF(Receipts!$B$5:$B$510,A321,Receipts!$D$5:$D$510))</f>
        <v/>
      </c>
      <c r="L321" s="11" t="str">
        <f t="shared" si="17"/>
        <v/>
      </c>
      <c r="M321" s="12" t="str">
        <f>IF(COUNTIF(Receipts!$B$5:$B$510,A321)=0,"",IFERROR(LOOKUP(2,1/(Receipts!$B$5:$B$510=A321),Receipts!$C$5:$C$510),""))</f>
        <v/>
      </c>
      <c r="N321" s="6" t="str">
        <f t="shared" ca="1" si="18"/>
        <v/>
      </c>
      <c r="O321" s="11" t="str">
        <f t="shared" ca="1" si="19"/>
        <v/>
      </c>
      <c r="P321" s="5"/>
    </row>
    <row r="322" spans="1:16" x14ac:dyDescent="0.25">
      <c r="A322" s="5"/>
      <c r="B322" s="5"/>
      <c r="C322" s="6" t="str">
        <f>IFERROR(INDEX(Suppliers!$B$5:$B$104,MATCH(B322,Suppliers!$A$5:$A$104,0)),"")</f>
        <v/>
      </c>
      <c r="D322" s="5"/>
      <c r="E322" s="5"/>
      <c r="F322" s="7"/>
      <c r="G322" s="7"/>
      <c r="H322" s="8"/>
      <c r="I322" s="9"/>
      <c r="J322" s="10" t="str">
        <f t="shared" si="16"/>
        <v/>
      </c>
      <c r="K322" s="11" t="str">
        <f>IF(A322="","",SUMIF(Receipts!$B$5:$B$510,A322,Receipts!$D$5:$D$510))</f>
        <v/>
      </c>
      <c r="L322" s="11" t="str">
        <f t="shared" si="17"/>
        <v/>
      </c>
      <c r="M322" s="12" t="str">
        <f>IF(COUNTIF(Receipts!$B$5:$B$510,A322)=0,"",IFERROR(LOOKUP(2,1/(Receipts!$B$5:$B$510=A322),Receipts!$C$5:$C$510),""))</f>
        <v/>
      </c>
      <c r="N322" s="6" t="str">
        <f t="shared" ca="1" si="18"/>
        <v/>
      </c>
      <c r="O322" s="11" t="str">
        <f t="shared" ca="1" si="19"/>
        <v/>
      </c>
      <c r="P322" s="5"/>
    </row>
    <row r="323" spans="1:16" x14ac:dyDescent="0.25">
      <c r="A323" s="5"/>
      <c r="B323" s="5"/>
      <c r="C323" s="6" t="str">
        <f>IFERROR(INDEX(Suppliers!$B$5:$B$104,MATCH(B323,Suppliers!$A$5:$A$104,0)),"")</f>
        <v/>
      </c>
      <c r="D323" s="5"/>
      <c r="E323" s="5"/>
      <c r="F323" s="7"/>
      <c r="G323" s="7"/>
      <c r="H323" s="8"/>
      <c r="I323" s="9"/>
      <c r="J323" s="10" t="str">
        <f t="shared" si="16"/>
        <v/>
      </c>
      <c r="K323" s="11" t="str">
        <f>IF(A323="","",SUMIF(Receipts!$B$5:$B$510,A323,Receipts!$D$5:$D$510))</f>
        <v/>
      </c>
      <c r="L323" s="11" t="str">
        <f t="shared" si="17"/>
        <v/>
      </c>
      <c r="M323" s="12" t="str">
        <f>IF(COUNTIF(Receipts!$B$5:$B$510,A323)=0,"",IFERROR(LOOKUP(2,1/(Receipts!$B$5:$B$510=A323),Receipts!$C$5:$C$510),""))</f>
        <v/>
      </c>
      <c r="N323" s="6" t="str">
        <f t="shared" ca="1" si="18"/>
        <v/>
      </c>
      <c r="O323" s="11" t="str">
        <f t="shared" ca="1" si="19"/>
        <v/>
      </c>
      <c r="P323" s="5"/>
    </row>
    <row r="324" spans="1:16" x14ac:dyDescent="0.25">
      <c r="A324" s="5"/>
      <c r="B324" s="5"/>
      <c r="C324" s="6" t="str">
        <f>IFERROR(INDEX(Suppliers!$B$5:$B$104,MATCH(B324,Suppliers!$A$5:$A$104,0)),"")</f>
        <v/>
      </c>
      <c r="D324" s="5"/>
      <c r="E324" s="5"/>
      <c r="F324" s="7"/>
      <c r="G324" s="7"/>
      <c r="H324" s="8"/>
      <c r="I324" s="9"/>
      <c r="J324" s="10" t="str">
        <f t="shared" si="16"/>
        <v/>
      </c>
      <c r="K324" s="11" t="str">
        <f>IF(A324="","",SUMIF(Receipts!$B$5:$B$510,A324,Receipts!$D$5:$D$510))</f>
        <v/>
      </c>
      <c r="L324" s="11" t="str">
        <f t="shared" si="17"/>
        <v/>
      </c>
      <c r="M324" s="12" t="str">
        <f>IF(COUNTIF(Receipts!$B$5:$B$510,A324)=0,"",IFERROR(LOOKUP(2,1/(Receipts!$B$5:$B$510=A324),Receipts!$C$5:$C$510),""))</f>
        <v/>
      </c>
      <c r="N324" s="6" t="str">
        <f t="shared" ca="1" si="18"/>
        <v/>
      </c>
      <c r="O324" s="11" t="str">
        <f t="shared" ca="1" si="19"/>
        <v/>
      </c>
      <c r="P324" s="5"/>
    </row>
    <row r="325" spans="1:16" x14ac:dyDescent="0.25">
      <c r="A325" s="5"/>
      <c r="B325" s="5"/>
      <c r="C325" s="6" t="str">
        <f>IFERROR(INDEX(Suppliers!$B$5:$B$104,MATCH(B325,Suppliers!$A$5:$A$104,0)),"")</f>
        <v/>
      </c>
      <c r="D325" s="5"/>
      <c r="E325" s="5"/>
      <c r="F325" s="7"/>
      <c r="G325" s="7"/>
      <c r="H325" s="8"/>
      <c r="I325" s="9"/>
      <c r="J325" s="10" t="str">
        <f t="shared" ref="J325:J388" si="20">IF(OR(H325="",I325=""),"",H325*I325)</f>
        <v/>
      </c>
      <c r="K325" s="11" t="str">
        <f>IF(A325="","",SUMIF(Receipts!$B$5:$B$510,A325,Receipts!$D$5:$D$510))</f>
        <v/>
      </c>
      <c r="L325" s="11" t="str">
        <f t="shared" ref="L325:L388" si="21">IF(A325="","",MAX(0,H325-K325))</f>
        <v/>
      </c>
      <c r="M325" s="12" t="str">
        <f>IF(COUNTIF(Receipts!$B$5:$B$510,A325)=0,"",IFERROR(LOOKUP(2,1/(Receipts!$B$5:$B$510=A325),Receipts!$C$5:$C$510),""))</f>
        <v/>
      </c>
      <c r="N325" s="6" t="str">
        <f t="shared" ref="N325:N388" ca="1" si="22">IF(A325="","",IF(OR(H325="",G325=""),"Incomplete",IF(K325&gt;H325,"Over-received",IF(L325=0,"Complete",IF(K325&gt;0,IF(G325&lt;TODAY(),"Overdue - Partial","Partially Received"),IF(G325&lt;TODAY(),"Overdue","Scheduled"))))))</f>
        <v/>
      </c>
      <c r="O325" s="11" t="str">
        <f t="shared" ref="O325:O388" ca="1" si="23">IF(OR(A325="",L325=0,G325=""),"",MAX(0,TODAY()-G325))</f>
        <v/>
      </c>
      <c r="P325" s="5"/>
    </row>
    <row r="326" spans="1:16" x14ac:dyDescent="0.25">
      <c r="A326" s="5"/>
      <c r="B326" s="5"/>
      <c r="C326" s="6" t="str">
        <f>IFERROR(INDEX(Suppliers!$B$5:$B$104,MATCH(B326,Suppliers!$A$5:$A$104,0)),"")</f>
        <v/>
      </c>
      <c r="D326" s="5"/>
      <c r="E326" s="5"/>
      <c r="F326" s="7"/>
      <c r="G326" s="7"/>
      <c r="H326" s="8"/>
      <c r="I326" s="9"/>
      <c r="J326" s="10" t="str">
        <f t="shared" si="20"/>
        <v/>
      </c>
      <c r="K326" s="11" t="str">
        <f>IF(A326="","",SUMIF(Receipts!$B$5:$B$510,A326,Receipts!$D$5:$D$510))</f>
        <v/>
      </c>
      <c r="L326" s="11" t="str">
        <f t="shared" si="21"/>
        <v/>
      </c>
      <c r="M326" s="12" t="str">
        <f>IF(COUNTIF(Receipts!$B$5:$B$510,A326)=0,"",IFERROR(LOOKUP(2,1/(Receipts!$B$5:$B$510=A326),Receipts!$C$5:$C$510),""))</f>
        <v/>
      </c>
      <c r="N326" s="6" t="str">
        <f t="shared" ca="1" si="22"/>
        <v/>
      </c>
      <c r="O326" s="11" t="str">
        <f t="shared" ca="1" si="23"/>
        <v/>
      </c>
      <c r="P326" s="5"/>
    </row>
    <row r="327" spans="1:16" x14ac:dyDescent="0.25">
      <c r="A327" s="5"/>
      <c r="B327" s="5"/>
      <c r="C327" s="6" t="str">
        <f>IFERROR(INDEX(Suppliers!$B$5:$B$104,MATCH(B327,Suppliers!$A$5:$A$104,0)),"")</f>
        <v/>
      </c>
      <c r="D327" s="5"/>
      <c r="E327" s="5"/>
      <c r="F327" s="7"/>
      <c r="G327" s="7"/>
      <c r="H327" s="8"/>
      <c r="I327" s="9"/>
      <c r="J327" s="10" t="str">
        <f t="shared" si="20"/>
        <v/>
      </c>
      <c r="K327" s="11" t="str">
        <f>IF(A327="","",SUMIF(Receipts!$B$5:$B$510,A327,Receipts!$D$5:$D$510))</f>
        <v/>
      </c>
      <c r="L327" s="11" t="str">
        <f t="shared" si="21"/>
        <v/>
      </c>
      <c r="M327" s="12" t="str">
        <f>IF(COUNTIF(Receipts!$B$5:$B$510,A327)=0,"",IFERROR(LOOKUP(2,1/(Receipts!$B$5:$B$510=A327),Receipts!$C$5:$C$510),""))</f>
        <v/>
      </c>
      <c r="N327" s="6" t="str">
        <f t="shared" ca="1" si="22"/>
        <v/>
      </c>
      <c r="O327" s="11" t="str">
        <f t="shared" ca="1" si="23"/>
        <v/>
      </c>
      <c r="P327" s="5"/>
    </row>
    <row r="328" spans="1:16" x14ac:dyDescent="0.25">
      <c r="A328" s="5"/>
      <c r="B328" s="5"/>
      <c r="C328" s="6" t="str">
        <f>IFERROR(INDEX(Suppliers!$B$5:$B$104,MATCH(B328,Suppliers!$A$5:$A$104,0)),"")</f>
        <v/>
      </c>
      <c r="D328" s="5"/>
      <c r="E328" s="5"/>
      <c r="F328" s="7"/>
      <c r="G328" s="7"/>
      <c r="H328" s="8"/>
      <c r="I328" s="9"/>
      <c r="J328" s="10" t="str">
        <f t="shared" si="20"/>
        <v/>
      </c>
      <c r="K328" s="11" t="str">
        <f>IF(A328="","",SUMIF(Receipts!$B$5:$B$510,A328,Receipts!$D$5:$D$510))</f>
        <v/>
      </c>
      <c r="L328" s="11" t="str">
        <f t="shared" si="21"/>
        <v/>
      </c>
      <c r="M328" s="12" t="str">
        <f>IF(COUNTIF(Receipts!$B$5:$B$510,A328)=0,"",IFERROR(LOOKUP(2,1/(Receipts!$B$5:$B$510=A328),Receipts!$C$5:$C$510),""))</f>
        <v/>
      </c>
      <c r="N328" s="6" t="str">
        <f t="shared" ca="1" si="22"/>
        <v/>
      </c>
      <c r="O328" s="11" t="str">
        <f t="shared" ca="1" si="23"/>
        <v/>
      </c>
      <c r="P328" s="5"/>
    </row>
    <row r="329" spans="1:16" x14ac:dyDescent="0.25">
      <c r="A329" s="5"/>
      <c r="B329" s="5"/>
      <c r="C329" s="6" t="str">
        <f>IFERROR(INDEX(Suppliers!$B$5:$B$104,MATCH(B329,Suppliers!$A$5:$A$104,0)),"")</f>
        <v/>
      </c>
      <c r="D329" s="5"/>
      <c r="E329" s="5"/>
      <c r="F329" s="7"/>
      <c r="G329" s="7"/>
      <c r="H329" s="8"/>
      <c r="I329" s="9"/>
      <c r="J329" s="10" t="str">
        <f t="shared" si="20"/>
        <v/>
      </c>
      <c r="K329" s="11" t="str">
        <f>IF(A329="","",SUMIF(Receipts!$B$5:$B$510,A329,Receipts!$D$5:$D$510))</f>
        <v/>
      </c>
      <c r="L329" s="11" t="str">
        <f t="shared" si="21"/>
        <v/>
      </c>
      <c r="M329" s="12" t="str">
        <f>IF(COUNTIF(Receipts!$B$5:$B$510,A329)=0,"",IFERROR(LOOKUP(2,1/(Receipts!$B$5:$B$510=A329),Receipts!$C$5:$C$510),""))</f>
        <v/>
      </c>
      <c r="N329" s="6" t="str">
        <f t="shared" ca="1" si="22"/>
        <v/>
      </c>
      <c r="O329" s="11" t="str">
        <f t="shared" ca="1" si="23"/>
        <v/>
      </c>
      <c r="P329" s="5"/>
    </row>
    <row r="330" spans="1:16" x14ac:dyDescent="0.25">
      <c r="A330" s="5"/>
      <c r="B330" s="5"/>
      <c r="C330" s="6" t="str">
        <f>IFERROR(INDEX(Suppliers!$B$5:$B$104,MATCH(B330,Suppliers!$A$5:$A$104,0)),"")</f>
        <v/>
      </c>
      <c r="D330" s="5"/>
      <c r="E330" s="5"/>
      <c r="F330" s="7"/>
      <c r="G330" s="7"/>
      <c r="H330" s="8"/>
      <c r="I330" s="9"/>
      <c r="J330" s="10" t="str">
        <f t="shared" si="20"/>
        <v/>
      </c>
      <c r="K330" s="11" t="str">
        <f>IF(A330="","",SUMIF(Receipts!$B$5:$B$510,A330,Receipts!$D$5:$D$510))</f>
        <v/>
      </c>
      <c r="L330" s="11" t="str">
        <f t="shared" si="21"/>
        <v/>
      </c>
      <c r="M330" s="12" t="str">
        <f>IF(COUNTIF(Receipts!$B$5:$B$510,A330)=0,"",IFERROR(LOOKUP(2,1/(Receipts!$B$5:$B$510=A330),Receipts!$C$5:$C$510),""))</f>
        <v/>
      </c>
      <c r="N330" s="6" t="str">
        <f t="shared" ca="1" si="22"/>
        <v/>
      </c>
      <c r="O330" s="11" t="str">
        <f t="shared" ca="1" si="23"/>
        <v/>
      </c>
      <c r="P330" s="5"/>
    </row>
    <row r="331" spans="1:16" x14ac:dyDescent="0.25">
      <c r="A331" s="5"/>
      <c r="B331" s="5"/>
      <c r="C331" s="6" t="str">
        <f>IFERROR(INDEX(Suppliers!$B$5:$B$104,MATCH(B331,Suppliers!$A$5:$A$104,0)),"")</f>
        <v/>
      </c>
      <c r="D331" s="5"/>
      <c r="E331" s="5"/>
      <c r="F331" s="7"/>
      <c r="G331" s="7"/>
      <c r="H331" s="8"/>
      <c r="I331" s="9"/>
      <c r="J331" s="10" t="str">
        <f t="shared" si="20"/>
        <v/>
      </c>
      <c r="K331" s="11" t="str">
        <f>IF(A331="","",SUMIF(Receipts!$B$5:$B$510,A331,Receipts!$D$5:$D$510))</f>
        <v/>
      </c>
      <c r="L331" s="11" t="str">
        <f t="shared" si="21"/>
        <v/>
      </c>
      <c r="M331" s="12" t="str">
        <f>IF(COUNTIF(Receipts!$B$5:$B$510,A331)=0,"",IFERROR(LOOKUP(2,1/(Receipts!$B$5:$B$510=A331),Receipts!$C$5:$C$510),""))</f>
        <v/>
      </c>
      <c r="N331" s="6" t="str">
        <f t="shared" ca="1" si="22"/>
        <v/>
      </c>
      <c r="O331" s="11" t="str">
        <f t="shared" ca="1" si="23"/>
        <v/>
      </c>
      <c r="P331" s="5"/>
    </row>
    <row r="332" spans="1:16" x14ac:dyDescent="0.25">
      <c r="A332" s="5"/>
      <c r="B332" s="5"/>
      <c r="C332" s="6" t="str">
        <f>IFERROR(INDEX(Suppliers!$B$5:$B$104,MATCH(B332,Suppliers!$A$5:$A$104,0)),"")</f>
        <v/>
      </c>
      <c r="D332" s="5"/>
      <c r="E332" s="5"/>
      <c r="F332" s="7"/>
      <c r="G332" s="7"/>
      <c r="H332" s="8"/>
      <c r="I332" s="9"/>
      <c r="J332" s="10" t="str">
        <f t="shared" si="20"/>
        <v/>
      </c>
      <c r="K332" s="11" t="str">
        <f>IF(A332="","",SUMIF(Receipts!$B$5:$B$510,A332,Receipts!$D$5:$D$510))</f>
        <v/>
      </c>
      <c r="L332" s="11" t="str">
        <f t="shared" si="21"/>
        <v/>
      </c>
      <c r="M332" s="12" t="str">
        <f>IF(COUNTIF(Receipts!$B$5:$B$510,A332)=0,"",IFERROR(LOOKUP(2,1/(Receipts!$B$5:$B$510=A332),Receipts!$C$5:$C$510),""))</f>
        <v/>
      </c>
      <c r="N332" s="6" t="str">
        <f t="shared" ca="1" si="22"/>
        <v/>
      </c>
      <c r="O332" s="11" t="str">
        <f t="shared" ca="1" si="23"/>
        <v/>
      </c>
      <c r="P332" s="5"/>
    </row>
    <row r="333" spans="1:16" x14ac:dyDescent="0.25">
      <c r="A333" s="5"/>
      <c r="B333" s="5"/>
      <c r="C333" s="6" t="str">
        <f>IFERROR(INDEX(Suppliers!$B$5:$B$104,MATCH(B333,Suppliers!$A$5:$A$104,0)),"")</f>
        <v/>
      </c>
      <c r="D333" s="5"/>
      <c r="E333" s="5"/>
      <c r="F333" s="7"/>
      <c r="G333" s="7"/>
      <c r="H333" s="8"/>
      <c r="I333" s="9"/>
      <c r="J333" s="10" t="str">
        <f t="shared" si="20"/>
        <v/>
      </c>
      <c r="K333" s="11" t="str">
        <f>IF(A333="","",SUMIF(Receipts!$B$5:$B$510,A333,Receipts!$D$5:$D$510))</f>
        <v/>
      </c>
      <c r="L333" s="11" t="str">
        <f t="shared" si="21"/>
        <v/>
      </c>
      <c r="M333" s="12" t="str">
        <f>IF(COUNTIF(Receipts!$B$5:$B$510,A333)=0,"",IFERROR(LOOKUP(2,1/(Receipts!$B$5:$B$510=A333),Receipts!$C$5:$C$510),""))</f>
        <v/>
      </c>
      <c r="N333" s="6" t="str">
        <f t="shared" ca="1" si="22"/>
        <v/>
      </c>
      <c r="O333" s="11" t="str">
        <f t="shared" ca="1" si="23"/>
        <v/>
      </c>
      <c r="P333" s="5"/>
    </row>
    <row r="334" spans="1:16" x14ac:dyDescent="0.25">
      <c r="A334" s="5"/>
      <c r="B334" s="5"/>
      <c r="C334" s="6" t="str">
        <f>IFERROR(INDEX(Suppliers!$B$5:$B$104,MATCH(B334,Suppliers!$A$5:$A$104,0)),"")</f>
        <v/>
      </c>
      <c r="D334" s="5"/>
      <c r="E334" s="5"/>
      <c r="F334" s="7"/>
      <c r="G334" s="7"/>
      <c r="H334" s="8"/>
      <c r="I334" s="9"/>
      <c r="J334" s="10" t="str">
        <f t="shared" si="20"/>
        <v/>
      </c>
      <c r="K334" s="11" t="str">
        <f>IF(A334="","",SUMIF(Receipts!$B$5:$B$510,A334,Receipts!$D$5:$D$510))</f>
        <v/>
      </c>
      <c r="L334" s="11" t="str">
        <f t="shared" si="21"/>
        <v/>
      </c>
      <c r="M334" s="12" t="str">
        <f>IF(COUNTIF(Receipts!$B$5:$B$510,A334)=0,"",IFERROR(LOOKUP(2,1/(Receipts!$B$5:$B$510=A334),Receipts!$C$5:$C$510),""))</f>
        <v/>
      </c>
      <c r="N334" s="6" t="str">
        <f t="shared" ca="1" si="22"/>
        <v/>
      </c>
      <c r="O334" s="11" t="str">
        <f t="shared" ca="1" si="23"/>
        <v/>
      </c>
      <c r="P334" s="5"/>
    </row>
    <row r="335" spans="1:16" x14ac:dyDescent="0.25">
      <c r="A335" s="5"/>
      <c r="B335" s="5"/>
      <c r="C335" s="6" t="str">
        <f>IFERROR(INDEX(Suppliers!$B$5:$B$104,MATCH(B335,Suppliers!$A$5:$A$104,0)),"")</f>
        <v/>
      </c>
      <c r="D335" s="5"/>
      <c r="E335" s="5"/>
      <c r="F335" s="7"/>
      <c r="G335" s="7"/>
      <c r="H335" s="8"/>
      <c r="I335" s="9"/>
      <c r="J335" s="10" t="str">
        <f t="shared" si="20"/>
        <v/>
      </c>
      <c r="K335" s="11" t="str">
        <f>IF(A335="","",SUMIF(Receipts!$B$5:$B$510,A335,Receipts!$D$5:$D$510))</f>
        <v/>
      </c>
      <c r="L335" s="11" t="str">
        <f t="shared" si="21"/>
        <v/>
      </c>
      <c r="M335" s="12" t="str">
        <f>IF(COUNTIF(Receipts!$B$5:$B$510,A335)=0,"",IFERROR(LOOKUP(2,1/(Receipts!$B$5:$B$510=A335),Receipts!$C$5:$C$510),""))</f>
        <v/>
      </c>
      <c r="N335" s="6" t="str">
        <f t="shared" ca="1" si="22"/>
        <v/>
      </c>
      <c r="O335" s="11" t="str">
        <f t="shared" ca="1" si="23"/>
        <v/>
      </c>
      <c r="P335" s="5"/>
    </row>
    <row r="336" spans="1:16" x14ac:dyDescent="0.25">
      <c r="A336" s="5"/>
      <c r="B336" s="5"/>
      <c r="C336" s="6" t="str">
        <f>IFERROR(INDEX(Suppliers!$B$5:$B$104,MATCH(B336,Suppliers!$A$5:$A$104,0)),"")</f>
        <v/>
      </c>
      <c r="D336" s="5"/>
      <c r="E336" s="5"/>
      <c r="F336" s="7"/>
      <c r="G336" s="7"/>
      <c r="H336" s="8"/>
      <c r="I336" s="9"/>
      <c r="J336" s="10" t="str">
        <f t="shared" si="20"/>
        <v/>
      </c>
      <c r="K336" s="11" t="str">
        <f>IF(A336="","",SUMIF(Receipts!$B$5:$B$510,A336,Receipts!$D$5:$D$510))</f>
        <v/>
      </c>
      <c r="L336" s="11" t="str">
        <f t="shared" si="21"/>
        <v/>
      </c>
      <c r="M336" s="12" t="str">
        <f>IF(COUNTIF(Receipts!$B$5:$B$510,A336)=0,"",IFERROR(LOOKUP(2,1/(Receipts!$B$5:$B$510=A336),Receipts!$C$5:$C$510),""))</f>
        <v/>
      </c>
      <c r="N336" s="6" t="str">
        <f t="shared" ca="1" si="22"/>
        <v/>
      </c>
      <c r="O336" s="11" t="str">
        <f t="shared" ca="1" si="23"/>
        <v/>
      </c>
      <c r="P336" s="5"/>
    </row>
    <row r="337" spans="1:16" x14ac:dyDescent="0.25">
      <c r="A337" s="5"/>
      <c r="B337" s="5"/>
      <c r="C337" s="6" t="str">
        <f>IFERROR(INDEX(Suppliers!$B$5:$B$104,MATCH(B337,Suppliers!$A$5:$A$104,0)),"")</f>
        <v/>
      </c>
      <c r="D337" s="5"/>
      <c r="E337" s="5"/>
      <c r="F337" s="7"/>
      <c r="G337" s="7"/>
      <c r="H337" s="8"/>
      <c r="I337" s="9"/>
      <c r="J337" s="10" t="str">
        <f t="shared" si="20"/>
        <v/>
      </c>
      <c r="K337" s="11" t="str">
        <f>IF(A337="","",SUMIF(Receipts!$B$5:$B$510,A337,Receipts!$D$5:$D$510))</f>
        <v/>
      </c>
      <c r="L337" s="11" t="str">
        <f t="shared" si="21"/>
        <v/>
      </c>
      <c r="M337" s="12" t="str">
        <f>IF(COUNTIF(Receipts!$B$5:$B$510,A337)=0,"",IFERROR(LOOKUP(2,1/(Receipts!$B$5:$B$510=A337),Receipts!$C$5:$C$510),""))</f>
        <v/>
      </c>
      <c r="N337" s="6" t="str">
        <f t="shared" ca="1" si="22"/>
        <v/>
      </c>
      <c r="O337" s="11" t="str">
        <f t="shared" ca="1" si="23"/>
        <v/>
      </c>
      <c r="P337" s="5"/>
    </row>
    <row r="338" spans="1:16" x14ac:dyDescent="0.25">
      <c r="A338" s="5"/>
      <c r="B338" s="5"/>
      <c r="C338" s="6" t="str">
        <f>IFERROR(INDEX(Suppliers!$B$5:$B$104,MATCH(B338,Suppliers!$A$5:$A$104,0)),"")</f>
        <v/>
      </c>
      <c r="D338" s="5"/>
      <c r="E338" s="5"/>
      <c r="F338" s="7"/>
      <c r="G338" s="7"/>
      <c r="H338" s="8"/>
      <c r="I338" s="9"/>
      <c r="J338" s="10" t="str">
        <f t="shared" si="20"/>
        <v/>
      </c>
      <c r="K338" s="11" t="str">
        <f>IF(A338="","",SUMIF(Receipts!$B$5:$B$510,A338,Receipts!$D$5:$D$510))</f>
        <v/>
      </c>
      <c r="L338" s="11" t="str">
        <f t="shared" si="21"/>
        <v/>
      </c>
      <c r="M338" s="12" t="str">
        <f>IF(COUNTIF(Receipts!$B$5:$B$510,A338)=0,"",IFERROR(LOOKUP(2,1/(Receipts!$B$5:$B$510=A338),Receipts!$C$5:$C$510),""))</f>
        <v/>
      </c>
      <c r="N338" s="6" t="str">
        <f t="shared" ca="1" si="22"/>
        <v/>
      </c>
      <c r="O338" s="11" t="str">
        <f t="shared" ca="1" si="23"/>
        <v/>
      </c>
      <c r="P338" s="5"/>
    </row>
    <row r="339" spans="1:16" x14ac:dyDescent="0.25">
      <c r="A339" s="5"/>
      <c r="B339" s="5"/>
      <c r="C339" s="6" t="str">
        <f>IFERROR(INDEX(Suppliers!$B$5:$B$104,MATCH(B339,Suppliers!$A$5:$A$104,0)),"")</f>
        <v/>
      </c>
      <c r="D339" s="5"/>
      <c r="E339" s="5"/>
      <c r="F339" s="7"/>
      <c r="G339" s="7"/>
      <c r="H339" s="8"/>
      <c r="I339" s="9"/>
      <c r="J339" s="10" t="str">
        <f t="shared" si="20"/>
        <v/>
      </c>
      <c r="K339" s="11" t="str">
        <f>IF(A339="","",SUMIF(Receipts!$B$5:$B$510,A339,Receipts!$D$5:$D$510))</f>
        <v/>
      </c>
      <c r="L339" s="11" t="str">
        <f t="shared" si="21"/>
        <v/>
      </c>
      <c r="M339" s="12" t="str">
        <f>IF(COUNTIF(Receipts!$B$5:$B$510,A339)=0,"",IFERROR(LOOKUP(2,1/(Receipts!$B$5:$B$510=A339),Receipts!$C$5:$C$510),""))</f>
        <v/>
      </c>
      <c r="N339" s="6" t="str">
        <f t="shared" ca="1" si="22"/>
        <v/>
      </c>
      <c r="O339" s="11" t="str">
        <f t="shared" ca="1" si="23"/>
        <v/>
      </c>
      <c r="P339" s="5"/>
    </row>
    <row r="340" spans="1:16" x14ac:dyDescent="0.25">
      <c r="A340" s="5"/>
      <c r="B340" s="5"/>
      <c r="C340" s="6" t="str">
        <f>IFERROR(INDEX(Suppliers!$B$5:$B$104,MATCH(B340,Suppliers!$A$5:$A$104,0)),"")</f>
        <v/>
      </c>
      <c r="D340" s="5"/>
      <c r="E340" s="5"/>
      <c r="F340" s="7"/>
      <c r="G340" s="7"/>
      <c r="H340" s="8"/>
      <c r="I340" s="9"/>
      <c r="J340" s="10" t="str">
        <f t="shared" si="20"/>
        <v/>
      </c>
      <c r="K340" s="11" t="str">
        <f>IF(A340="","",SUMIF(Receipts!$B$5:$B$510,A340,Receipts!$D$5:$D$510))</f>
        <v/>
      </c>
      <c r="L340" s="11" t="str">
        <f t="shared" si="21"/>
        <v/>
      </c>
      <c r="M340" s="12" t="str">
        <f>IF(COUNTIF(Receipts!$B$5:$B$510,A340)=0,"",IFERROR(LOOKUP(2,1/(Receipts!$B$5:$B$510=A340),Receipts!$C$5:$C$510),""))</f>
        <v/>
      </c>
      <c r="N340" s="6" t="str">
        <f t="shared" ca="1" si="22"/>
        <v/>
      </c>
      <c r="O340" s="11" t="str">
        <f t="shared" ca="1" si="23"/>
        <v/>
      </c>
      <c r="P340" s="5"/>
    </row>
    <row r="341" spans="1:16" x14ac:dyDescent="0.25">
      <c r="A341" s="5"/>
      <c r="B341" s="5"/>
      <c r="C341" s="6" t="str">
        <f>IFERROR(INDEX(Suppliers!$B$5:$B$104,MATCH(B341,Suppliers!$A$5:$A$104,0)),"")</f>
        <v/>
      </c>
      <c r="D341" s="5"/>
      <c r="E341" s="5"/>
      <c r="F341" s="7"/>
      <c r="G341" s="7"/>
      <c r="H341" s="8"/>
      <c r="I341" s="9"/>
      <c r="J341" s="10" t="str">
        <f t="shared" si="20"/>
        <v/>
      </c>
      <c r="K341" s="11" t="str">
        <f>IF(A341="","",SUMIF(Receipts!$B$5:$B$510,A341,Receipts!$D$5:$D$510))</f>
        <v/>
      </c>
      <c r="L341" s="11" t="str">
        <f t="shared" si="21"/>
        <v/>
      </c>
      <c r="M341" s="12" t="str">
        <f>IF(COUNTIF(Receipts!$B$5:$B$510,A341)=0,"",IFERROR(LOOKUP(2,1/(Receipts!$B$5:$B$510=A341),Receipts!$C$5:$C$510),""))</f>
        <v/>
      </c>
      <c r="N341" s="6" t="str">
        <f t="shared" ca="1" si="22"/>
        <v/>
      </c>
      <c r="O341" s="11" t="str">
        <f t="shared" ca="1" si="23"/>
        <v/>
      </c>
      <c r="P341" s="5"/>
    </row>
    <row r="342" spans="1:16" x14ac:dyDescent="0.25">
      <c r="A342" s="5"/>
      <c r="B342" s="5"/>
      <c r="C342" s="6" t="str">
        <f>IFERROR(INDEX(Suppliers!$B$5:$B$104,MATCH(B342,Suppliers!$A$5:$A$104,0)),"")</f>
        <v/>
      </c>
      <c r="D342" s="5"/>
      <c r="E342" s="5"/>
      <c r="F342" s="7"/>
      <c r="G342" s="7"/>
      <c r="H342" s="8"/>
      <c r="I342" s="9"/>
      <c r="J342" s="10" t="str">
        <f t="shared" si="20"/>
        <v/>
      </c>
      <c r="K342" s="11" t="str">
        <f>IF(A342="","",SUMIF(Receipts!$B$5:$B$510,A342,Receipts!$D$5:$D$510))</f>
        <v/>
      </c>
      <c r="L342" s="11" t="str">
        <f t="shared" si="21"/>
        <v/>
      </c>
      <c r="M342" s="12" t="str">
        <f>IF(COUNTIF(Receipts!$B$5:$B$510,A342)=0,"",IFERROR(LOOKUP(2,1/(Receipts!$B$5:$B$510=A342),Receipts!$C$5:$C$510),""))</f>
        <v/>
      </c>
      <c r="N342" s="6" t="str">
        <f t="shared" ca="1" si="22"/>
        <v/>
      </c>
      <c r="O342" s="11" t="str">
        <f t="shared" ca="1" si="23"/>
        <v/>
      </c>
      <c r="P342" s="5"/>
    </row>
    <row r="343" spans="1:16" x14ac:dyDescent="0.25">
      <c r="A343" s="5"/>
      <c r="B343" s="5"/>
      <c r="C343" s="6" t="str">
        <f>IFERROR(INDEX(Suppliers!$B$5:$B$104,MATCH(B343,Suppliers!$A$5:$A$104,0)),"")</f>
        <v/>
      </c>
      <c r="D343" s="5"/>
      <c r="E343" s="5"/>
      <c r="F343" s="7"/>
      <c r="G343" s="7"/>
      <c r="H343" s="8"/>
      <c r="I343" s="9"/>
      <c r="J343" s="10" t="str">
        <f t="shared" si="20"/>
        <v/>
      </c>
      <c r="K343" s="11" t="str">
        <f>IF(A343="","",SUMIF(Receipts!$B$5:$B$510,A343,Receipts!$D$5:$D$510))</f>
        <v/>
      </c>
      <c r="L343" s="11" t="str">
        <f t="shared" si="21"/>
        <v/>
      </c>
      <c r="M343" s="12" t="str">
        <f>IF(COUNTIF(Receipts!$B$5:$B$510,A343)=0,"",IFERROR(LOOKUP(2,1/(Receipts!$B$5:$B$510=A343),Receipts!$C$5:$C$510),""))</f>
        <v/>
      </c>
      <c r="N343" s="6" t="str">
        <f t="shared" ca="1" si="22"/>
        <v/>
      </c>
      <c r="O343" s="11" t="str">
        <f t="shared" ca="1" si="23"/>
        <v/>
      </c>
      <c r="P343" s="5"/>
    </row>
    <row r="344" spans="1:16" x14ac:dyDescent="0.25">
      <c r="A344" s="5"/>
      <c r="B344" s="5"/>
      <c r="C344" s="6" t="str">
        <f>IFERROR(INDEX(Suppliers!$B$5:$B$104,MATCH(B344,Suppliers!$A$5:$A$104,0)),"")</f>
        <v/>
      </c>
      <c r="D344" s="5"/>
      <c r="E344" s="5"/>
      <c r="F344" s="7"/>
      <c r="G344" s="7"/>
      <c r="H344" s="8"/>
      <c r="I344" s="9"/>
      <c r="J344" s="10" t="str">
        <f t="shared" si="20"/>
        <v/>
      </c>
      <c r="K344" s="11" t="str">
        <f>IF(A344="","",SUMIF(Receipts!$B$5:$B$510,A344,Receipts!$D$5:$D$510))</f>
        <v/>
      </c>
      <c r="L344" s="11" t="str">
        <f t="shared" si="21"/>
        <v/>
      </c>
      <c r="M344" s="12" t="str">
        <f>IF(COUNTIF(Receipts!$B$5:$B$510,A344)=0,"",IFERROR(LOOKUP(2,1/(Receipts!$B$5:$B$510=A344),Receipts!$C$5:$C$510),""))</f>
        <v/>
      </c>
      <c r="N344" s="6" t="str">
        <f t="shared" ca="1" si="22"/>
        <v/>
      </c>
      <c r="O344" s="11" t="str">
        <f t="shared" ca="1" si="23"/>
        <v/>
      </c>
      <c r="P344" s="5"/>
    </row>
    <row r="345" spans="1:16" x14ac:dyDescent="0.25">
      <c r="A345" s="5"/>
      <c r="B345" s="5"/>
      <c r="C345" s="6" t="str">
        <f>IFERROR(INDEX(Suppliers!$B$5:$B$104,MATCH(B345,Suppliers!$A$5:$A$104,0)),"")</f>
        <v/>
      </c>
      <c r="D345" s="5"/>
      <c r="E345" s="5"/>
      <c r="F345" s="7"/>
      <c r="G345" s="7"/>
      <c r="H345" s="8"/>
      <c r="I345" s="9"/>
      <c r="J345" s="10" t="str">
        <f t="shared" si="20"/>
        <v/>
      </c>
      <c r="K345" s="11" t="str">
        <f>IF(A345="","",SUMIF(Receipts!$B$5:$B$510,A345,Receipts!$D$5:$D$510))</f>
        <v/>
      </c>
      <c r="L345" s="11" t="str">
        <f t="shared" si="21"/>
        <v/>
      </c>
      <c r="M345" s="12" t="str">
        <f>IF(COUNTIF(Receipts!$B$5:$B$510,A345)=0,"",IFERROR(LOOKUP(2,1/(Receipts!$B$5:$B$510=A345),Receipts!$C$5:$C$510),""))</f>
        <v/>
      </c>
      <c r="N345" s="6" t="str">
        <f t="shared" ca="1" si="22"/>
        <v/>
      </c>
      <c r="O345" s="11" t="str">
        <f t="shared" ca="1" si="23"/>
        <v/>
      </c>
      <c r="P345" s="5"/>
    </row>
    <row r="346" spans="1:16" x14ac:dyDescent="0.25">
      <c r="A346" s="5"/>
      <c r="B346" s="5"/>
      <c r="C346" s="6" t="str">
        <f>IFERROR(INDEX(Suppliers!$B$5:$B$104,MATCH(B346,Suppliers!$A$5:$A$104,0)),"")</f>
        <v/>
      </c>
      <c r="D346" s="5"/>
      <c r="E346" s="5"/>
      <c r="F346" s="7"/>
      <c r="G346" s="7"/>
      <c r="H346" s="8"/>
      <c r="I346" s="9"/>
      <c r="J346" s="10" t="str">
        <f t="shared" si="20"/>
        <v/>
      </c>
      <c r="K346" s="11" t="str">
        <f>IF(A346="","",SUMIF(Receipts!$B$5:$B$510,A346,Receipts!$D$5:$D$510))</f>
        <v/>
      </c>
      <c r="L346" s="11" t="str">
        <f t="shared" si="21"/>
        <v/>
      </c>
      <c r="M346" s="12" t="str">
        <f>IF(COUNTIF(Receipts!$B$5:$B$510,A346)=0,"",IFERROR(LOOKUP(2,1/(Receipts!$B$5:$B$510=A346),Receipts!$C$5:$C$510),""))</f>
        <v/>
      </c>
      <c r="N346" s="6" t="str">
        <f t="shared" ca="1" si="22"/>
        <v/>
      </c>
      <c r="O346" s="11" t="str">
        <f t="shared" ca="1" si="23"/>
        <v/>
      </c>
      <c r="P346" s="5"/>
    </row>
    <row r="347" spans="1:16" x14ac:dyDescent="0.25">
      <c r="A347" s="5"/>
      <c r="B347" s="5"/>
      <c r="C347" s="6" t="str">
        <f>IFERROR(INDEX(Suppliers!$B$5:$B$104,MATCH(B347,Suppliers!$A$5:$A$104,0)),"")</f>
        <v/>
      </c>
      <c r="D347" s="5"/>
      <c r="E347" s="5"/>
      <c r="F347" s="7"/>
      <c r="G347" s="7"/>
      <c r="H347" s="8"/>
      <c r="I347" s="9"/>
      <c r="J347" s="10" t="str">
        <f t="shared" si="20"/>
        <v/>
      </c>
      <c r="K347" s="11" t="str">
        <f>IF(A347="","",SUMIF(Receipts!$B$5:$B$510,A347,Receipts!$D$5:$D$510))</f>
        <v/>
      </c>
      <c r="L347" s="11" t="str">
        <f t="shared" si="21"/>
        <v/>
      </c>
      <c r="M347" s="12" t="str">
        <f>IF(COUNTIF(Receipts!$B$5:$B$510,A347)=0,"",IFERROR(LOOKUP(2,1/(Receipts!$B$5:$B$510=A347),Receipts!$C$5:$C$510),""))</f>
        <v/>
      </c>
      <c r="N347" s="6" t="str">
        <f t="shared" ca="1" si="22"/>
        <v/>
      </c>
      <c r="O347" s="11" t="str">
        <f t="shared" ca="1" si="23"/>
        <v/>
      </c>
      <c r="P347" s="5"/>
    </row>
    <row r="348" spans="1:16" x14ac:dyDescent="0.25">
      <c r="A348" s="5"/>
      <c r="B348" s="5"/>
      <c r="C348" s="6" t="str">
        <f>IFERROR(INDEX(Suppliers!$B$5:$B$104,MATCH(B348,Suppliers!$A$5:$A$104,0)),"")</f>
        <v/>
      </c>
      <c r="D348" s="5"/>
      <c r="E348" s="5"/>
      <c r="F348" s="7"/>
      <c r="G348" s="7"/>
      <c r="H348" s="8"/>
      <c r="I348" s="9"/>
      <c r="J348" s="10" t="str">
        <f t="shared" si="20"/>
        <v/>
      </c>
      <c r="K348" s="11" t="str">
        <f>IF(A348="","",SUMIF(Receipts!$B$5:$B$510,A348,Receipts!$D$5:$D$510))</f>
        <v/>
      </c>
      <c r="L348" s="11" t="str">
        <f t="shared" si="21"/>
        <v/>
      </c>
      <c r="M348" s="12" t="str">
        <f>IF(COUNTIF(Receipts!$B$5:$B$510,A348)=0,"",IFERROR(LOOKUP(2,1/(Receipts!$B$5:$B$510=A348),Receipts!$C$5:$C$510),""))</f>
        <v/>
      </c>
      <c r="N348" s="6" t="str">
        <f t="shared" ca="1" si="22"/>
        <v/>
      </c>
      <c r="O348" s="11" t="str">
        <f t="shared" ca="1" si="23"/>
        <v/>
      </c>
      <c r="P348" s="5"/>
    </row>
    <row r="349" spans="1:16" x14ac:dyDescent="0.25">
      <c r="A349" s="5"/>
      <c r="B349" s="5"/>
      <c r="C349" s="6" t="str">
        <f>IFERROR(INDEX(Suppliers!$B$5:$B$104,MATCH(B349,Suppliers!$A$5:$A$104,0)),"")</f>
        <v/>
      </c>
      <c r="D349" s="5"/>
      <c r="E349" s="5"/>
      <c r="F349" s="7"/>
      <c r="G349" s="7"/>
      <c r="H349" s="8"/>
      <c r="I349" s="9"/>
      <c r="J349" s="10" t="str">
        <f t="shared" si="20"/>
        <v/>
      </c>
      <c r="K349" s="11" t="str">
        <f>IF(A349="","",SUMIF(Receipts!$B$5:$B$510,A349,Receipts!$D$5:$D$510))</f>
        <v/>
      </c>
      <c r="L349" s="11" t="str">
        <f t="shared" si="21"/>
        <v/>
      </c>
      <c r="M349" s="12" t="str">
        <f>IF(COUNTIF(Receipts!$B$5:$B$510,A349)=0,"",IFERROR(LOOKUP(2,1/(Receipts!$B$5:$B$510=A349),Receipts!$C$5:$C$510),""))</f>
        <v/>
      </c>
      <c r="N349" s="6" t="str">
        <f t="shared" ca="1" si="22"/>
        <v/>
      </c>
      <c r="O349" s="11" t="str">
        <f t="shared" ca="1" si="23"/>
        <v/>
      </c>
      <c r="P349" s="5"/>
    </row>
    <row r="350" spans="1:16" x14ac:dyDescent="0.25">
      <c r="A350" s="5"/>
      <c r="B350" s="5"/>
      <c r="C350" s="6" t="str">
        <f>IFERROR(INDEX(Suppliers!$B$5:$B$104,MATCH(B350,Suppliers!$A$5:$A$104,0)),"")</f>
        <v/>
      </c>
      <c r="D350" s="5"/>
      <c r="E350" s="5"/>
      <c r="F350" s="7"/>
      <c r="G350" s="7"/>
      <c r="H350" s="8"/>
      <c r="I350" s="9"/>
      <c r="J350" s="10" t="str">
        <f t="shared" si="20"/>
        <v/>
      </c>
      <c r="K350" s="11" t="str">
        <f>IF(A350="","",SUMIF(Receipts!$B$5:$B$510,A350,Receipts!$D$5:$D$510))</f>
        <v/>
      </c>
      <c r="L350" s="11" t="str">
        <f t="shared" si="21"/>
        <v/>
      </c>
      <c r="M350" s="12" t="str">
        <f>IF(COUNTIF(Receipts!$B$5:$B$510,A350)=0,"",IFERROR(LOOKUP(2,1/(Receipts!$B$5:$B$510=A350),Receipts!$C$5:$C$510),""))</f>
        <v/>
      </c>
      <c r="N350" s="6" t="str">
        <f t="shared" ca="1" si="22"/>
        <v/>
      </c>
      <c r="O350" s="11" t="str">
        <f t="shared" ca="1" si="23"/>
        <v/>
      </c>
      <c r="P350" s="5"/>
    </row>
    <row r="351" spans="1:16" x14ac:dyDescent="0.25">
      <c r="A351" s="5"/>
      <c r="B351" s="5"/>
      <c r="C351" s="6" t="str">
        <f>IFERROR(INDEX(Suppliers!$B$5:$B$104,MATCH(B351,Suppliers!$A$5:$A$104,0)),"")</f>
        <v/>
      </c>
      <c r="D351" s="5"/>
      <c r="E351" s="5"/>
      <c r="F351" s="7"/>
      <c r="G351" s="7"/>
      <c r="H351" s="8"/>
      <c r="I351" s="9"/>
      <c r="J351" s="10" t="str">
        <f t="shared" si="20"/>
        <v/>
      </c>
      <c r="K351" s="11" t="str">
        <f>IF(A351="","",SUMIF(Receipts!$B$5:$B$510,A351,Receipts!$D$5:$D$510))</f>
        <v/>
      </c>
      <c r="L351" s="11" t="str">
        <f t="shared" si="21"/>
        <v/>
      </c>
      <c r="M351" s="12" t="str">
        <f>IF(COUNTIF(Receipts!$B$5:$B$510,A351)=0,"",IFERROR(LOOKUP(2,1/(Receipts!$B$5:$B$510=A351),Receipts!$C$5:$C$510),""))</f>
        <v/>
      </c>
      <c r="N351" s="6" t="str">
        <f t="shared" ca="1" si="22"/>
        <v/>
      </c>
      <c r="O351" s="11" t="str">
        <f t="shared" ca="1" si="23"/>
        <v/>
      </c>
      <c r="P351" s="5"/>
    </row>
    <row r="352" spans="1:16" x14ac:dyDescent="0.25">
      <c r="A352" s="5"/>
      <c r="B352" s="5"/>
      <c r="C352" s="6" t="str">
        <f>IFERROR(INDEX(Suppliers!$B$5:$B$104,MATCH(B352,Suppliers!$A$5:$A$104,0)),"")</f>
        <v/>
      </c>
      <c r="D352" s="5"/>
      <c r="E352" s="5"/>
      <c r="F352" s="7"/>
      <c r="G352" s="7"/>
      <c r="H352" s="8"/>
      <c r="I352" s="9"/>
      <c r="J352" s="10" t="str">
        <f t="shared" si="20"/>
        <v/>
      </c>
      <c r="K352" s="11" t="str">
        <f>IF(A352="","",SUMIF(Receipts!$B$5:$B$510,A352,Receipts!$D$5:$D$510))</f>
        <v/>
      </c>
      <c r="L352" s="11" t="str">
        <f t="shared" si="21"/>
        <v/>
      </c>
      <c r="M352" s="12" t="str">
        <f>IF(COUNTIF(Receipts!$B$5:$B$510,A352)=0,"",IFERROR(LOOKUP(2,1/(Receipts!$B$5:$B$510=A352),Receipts!$C$5:$C$510),""))</f>
        <v/>
      </c>
      <c r="N352" s="6" t="str">
        <f t="shared" ca="1" si="22"/>
        <v/>
      </c>
      <c r="O352" s="11" t="str">
        <f t="shared" ca="1" si="23"/>
        <v/>
      </c>
      <c r="P352" s="5"/>
    </row>
    <row r="353" spans="1:16" x14ac:dyDescent="0.25">
      <c r="A353" s="5"/>
      <c r="B353" s="5"/>
      <c r="C353" s="6" t="str">
        <f>IFERROR(INDEX(Suppliers!$B$5:$B$104,MATCH(B353,Suppliers!$A$5:$A$104,0)),"")</f>
        <v/>
      </c>
      <c r="D353" s="5"/>
      <c r="E353" s="5"/>
      <c r="F353" s="7"/>
      <c r="G353" s="7"/>
      <c r="H353" s="8"/>
      <c r="I353" s="9"/>
      <c r="J353" s="10" t="str">
        <f t="shared" si="20"/>
        <v/>
      </c>
      <c r="K353" s="11" t="str">
        <f>IF(A353="","",SUMIF(Receipts!$B$5:$B$510,A353,Receipts!$D$5:$D$510))</f>
        <v/>
      </c>
      <c r="L353" s="11" t="str">
        <f t="shared" si="21"/>
        <v/>
      </c>
      <c r="M353" s="12" t="str">
        <f>IF(COUNTIF(Receipts!$B$5:$B$510,A353)=0,"",IFERROR(LOOKUP(2,1/(Receipts!$B$5:$B$510=A353),Receipts!$C$5:$C$510),""))</f>
        <v/>
      </c>
      <c r="N353" s="6" t="str">
        <f t="shared" ca="1" si="22"/>
        <v/>
      </c>
      <c r="O353" s="11" t="str">
        <f t="shared" ca="1" si="23"/>
        <v/>
      </c>
      <c r="P353" s="5"/>
    </row>
    <row r="354" spans="1:16" x14ac:dyDescent="0.25">
      <c r="A354" s="5"/>
      <c r="B354" s="5"/>
      <c r="C354" s="6" t="str">
        <f>IFERROR(INDEX(Suppliers!$B$5:$B$104,MATCH(B354,Suppliers!$A$5:$A$104,0)),"")</f>
        <v/>
      </c>
      <c r="D354" s="5"/>
      <c r="E354" s="5"/>
      <c r="F354" s="7"/>
      <c r="G354" s="7"/>
      <c r="H354" s="8"/>
      <c r="I354" s="9"/>
      <c r="J354" s="10" t="str">
        <f t="shared" si="20"/>
        <v/>
      </c>
      <c r="K354" s="11" t="str">
        <f>IF(A354="","",SUMIF(Receipts!$B$5:$B$510,A354,Receipts!$D$5:$D$510))</f>
        <v/>
      </c>
      <c r="L354" s="11" t="str">
        <f t="shared" si="21"/>
        <v/>
      </c>
      <c r="M354" s="12" t="str">
        <f>IF(COUNTIF(Receipts!$B$5:$B$510,A354)=0,"",IFERROR(LOOKUP(2,1/(Receipts!$B$5:$B$510=A354),Receipts!$C$5:$C$510),""))</f>
        <v/>
      </c>
      <c r="N354" s="6" t="str">
        <f t="shared" ca="1" si="22"/>
        <v/>
      </c>
      <c r="O354" s="11" t="str">
        <f t="shared" ca="1" si="23"/>
        <v/>
      </c>
      <c r="P354" s="5"/>
    </row>
    <row r="355" spans="1:16" x14ac:dyDescent="0.25">
      <c r="A355" s="5"/>
      <c r="B355" s="5"/>
      <c r="C355" s="6" t="str">
        <f>IFERROR(INDEX(Suppliers!$B$5:$B$104,MATCH(B355,Suppliers!$A$5:$A$104,0)),"")</f>
        <v/>
      </c>
      <c r="D355" s="5"/>
      <c r="E355" s="5"/>
      <c r="F355" s="7"/>
      <c r="G355" s="7"/>
      <c r="H355" s="8"/>
      <c r="I355" s="9"/>
      <c r="J355" s="10" t="str">
        <f t="shared" si="20"/>
        <v/>
      </c>
      <c r="K355" s="11" t="str">
        <f>IF(A355="","",SUMIF(Receipts!$B$5:$B$510,A355,Receipts!$D$5:$D$510))</f>
        <v/>
      </c>
      <c r="L355" s="11" t="str">
        <f t="shared" si="21"/>
        <v/>
      </c>
      <c r="M355" s="12" t="str">
        <f>IF(COUNTIF(Receipts!$B$5:$B$510,A355)=0,"",IFERROR(LOOKUP(2,1/(Receipts!$B$5:$B$510=A355),Receipts!$C$5:$C$510),""))</f>
        <v/>
      </c>
      <c r="N355" s="6" t="str">
        <f t="shared" ca="1" si="22"/>
        <v/>
      </c>
      <c r="O355" s="11" t="str">
        <f t="shared" ca="1" si="23"/>
        <v/>
      </c>
      <c r="P355" s="5"/>
    </row>
    <row r="356" spans="1:16" x14ac:dyDescent="0.25">
      <c r="A356" s="5"/>
      <c r="B356" s="5"/>
      <c r="C356" s="6" t="str">
        <f>IFERROR(INDEX(Suppliers!$B$5:$B$104,MATCH(B356,Suppliers!$A$5:$A$104,0)),"")</f>
        <v/>
      </c>
      <c r="D356" s="5"/>
      <c r="E356" s="5"/>
      <c r="F356" s="7"/>
      <c r="G356" s="7"/>
      <c r="H356" s="8"/>
      <c r="I356" s="9"/>
      <c r="J356" s="10" t="str">
        <f t="shared" si="20"/>
        <v/>
      </c>
      <c r="K356" s="11" t="str">
        <f>IF(A356="","",SUMIF(Receipts!$B$5:$B$510,A356,Receipts!$D$5:$D$510))</f>
        <v/>
      </c>
      <c r="L356" s="11" t="str">
        <f t="shared" si="21"/>
        <v/>
      </c>
      <c r="M356" s="12" t="str">
        <f>IF(COUNTIF(Receipts!$B$5:$B$510,A356)=0,"",IFERROR(LOOKUP(2,1/(Receipts!$B$5:$B$510=A356),Receipts!$C$5:$C$510),""))</f>
        <v/>
      </c>
      <c r="N356" s="6" t="str">
        <f t="shared" ca="1" si="22"/>
        <v/>
      </c>
      <c r="O356" s="11" t="str">
        <f t="shared" ca="1" si="23"/>
        <v/>
      </c>
      <c r="P356" s="5"/>
    </row>
    <row r="357" spans="1:16" x14ac:dyDescent="0.25">
      <c r="A357" s="5"/>
      <c r="B357" s="5"/>
      <c r="C357" s="6" t="str">
        <f>IFERROR(INDEX(Suppliers!$B$5:$B$104,MATCH(B357,Suppliers!$A$5:$A$104,0)),"")</f>
        <v/>
      </c>
      <c r="D357" s="5"/>
      <c r="E357" s="5"/>
      <c r="F357" s="7"/>
      <c r="G357" s="7"/>
      <c r="H357" s="8"/>
      <c r="I357" s="9"/>
      <c r="J357" s="10" t="str">
        <f t="shared" si="20"/>
        <v/>
      </c>
      <c r="K357" s="11" t="str">
        <f>IF(A357="","",SUMIF(Receipts!$B$5:$B$510,A357,Receipts!$D$5:$D$510))</f>
        <v/>
      </c>
      <c r="L357" s="11" t="str">
        <f t="shared" si="21"/>
        <v/>
      </c>
      <c r="M357" s="12" t="str">
        <f>IF(COUNTIF(Receipts!$B$5:$B$510,A357)=0,"",IFERROR(LOOKUP(2,1/(Receipts!$B$5:$B$510=A357),Receipts!$C$5:$C$510),""))</f>
        <v/>
      </c>
      <c r="N357" s="6" t="str">
        <f t="shared" ca="1" si="22"/>
        <v/>
      </c>
      <c r="O357" s="11" t="str">
        <f t="shared" ca="1" si="23"/>
        <v/>
      </c>
      <c r="P357" s="5"/>
    </row>
    <row r="358" spans="1:16" x14ac:dyDescent="0.25">
      <c r="A358" s="5"/>
      <c r="B358" s="5"/>
      <c r="C358" s="6" t="str">
        <f>IFERROR(INDEX(Suppliers!$B$5:$B$104,MATCH(B358,Suppliers!$A$5:$A$104,0)),"")</f>
        <v/>
      </c>
      <c r="D358" s="5"/>
      <c r="E358" s="5"/>
      <c r="F358" s="7"/>
      <c r="G358" s="7"/>
      <c r="H358" s="8"/>
      <c r="I358" s="9"/>
      <c r="J358" s="10" t="str">
        <f t="shared" si="20"/>
        <v/>
      </c>
      <c r="K358" s="11" t="str">
        <f>IF(A358="","",SUMIF(Receipts!$B$5:$B$510,A358,Receipts!$D$5:$D$510))</f>
        <v/>
      </c>
      <c r="L358" s="11" t="str">
        <f t="shared" si="21"/>
        <v/>
      </c>
      <c r="M358" s="12" t="str">
        <f>IF(COUNTIF(Receipts!$B$5:$B$510,A358)=0,"",IFERROR(LOOKUP(2,1/(Receipts!$B$5:$B$510=A358),Receipts!$C$5:$C$510),""))</f>
        <v/>
      </c>
      <c r="N358" s="6" t="str">
        <f t="shared" ca="1" si="22"/>
        <v/>
      </c>
      <c r="O358" s="11" t="str">
        <f t="shared" ca="1" si="23"/>
        <v/>
      </c>
      <c r="P358" s="5"/>
    </row>
    <row r="359" spans="1:16" x14ac:dyDescent="0.25">
      <c r="A359" s="5"/>
      <c r="B359" s="5"/>
      <c r="C359" s="6" t="str">
        <f>IFERROR(INDEX(Suppliers!$B$5:$B$104,MATCH(B359,Suppliers!$A$5:$A$104,0)),"")</f>
        <v/>
      </c>
      <c r="D359" s="5"/>
      <c r="E359" s="5"/>
      <c r="F359" s="7"/>
      <c r="G359" s="7"/>
      <c r="H359" s="8"/>
      <c r="I359" s="9"/>
      <c r="J359" s="10" t="str">
        <f t="shared" si="20"/>
        <v/>
      </c>
      <c r="K359" s="11" t="str">
        <f>IF(A359="","",SUMIF(Receipts!$B$5:$B$510,A359,Receipts!$D$5:$D$510))</f>
        <v/>
      </c>
      <c r="L359" s="11" t="str">
        <f t="shared" si="21"/>
        <v/>
      </c>
      <c r="M359" s="12" t="str">
        <f>IF(COUNTIF(Receipts!$B$5:$B$510,A359)=0,"",IFERROR(LOOKUP(2,1/(Receipts!$B$5:$B$510=A359),Receipts!$C$5:$C$510),""))</f>
        <v/>
      </c>
      <c r="N359" s="6" t="str">
        <f t="shared" ca="1" si="22"/>
        <v/>
      </c>
      <c r="O359" s="11" t="str">
        <f t="shared" ca="1" si="23"/>
        <v/>
      </c>
      <c r="P359" s="5"/>
    </row>
    <row r="360" spans="1:16" x14ac:dyDescent="0.25">
      <c r="A360" s="5"/>
      <c r="B360" s="5"/>
      <c r="C360" s="6" t="str">
        <f>IFERROR(INDEX(Suppliers!$B$5:$B$104,MATCH(B360,Suppliers!$A$5:$A$104,0)),"")</f>
        <v/>
      </c>
      <c r="D360" s="5"/>
      <c r="E360" s="5"/>
      <c r="F360" s="7"/>
      <c r="G360" s="7"/>
      <c r="H360" s="8"/>
      <c r="I360" s="9"/>
      <c r="J360" s="10" t="str">
        <f t="shared" si="20"/>
        <v/>
      </c>
      <c r="K360" s="11" t="str">
        <f>IF(A360="","",SUMIF(Receipts!$B$5:$B$510,A360,Receipts!$D$5:$D$510))</f>
        <v/>
      </c>
      <c r="L360" s="11" t="str">
        <f t="shared" si="21"/>
        <v/>
      </c>
      <c r="M360" s="12" t="str">
        <f>IF(COUNTIF(Receipts!$B$5:$B$510,A360)=0,"",IFERROR(LOOKUP(2,1/(Receipts!$B$5:$B$510=A360),Receipts!$C$5:$C$510),""))</f>
        <v/>
      </c>
      <c r="N360" s="6" t="str">
        <f t="shared" ca="1" si="22"/>
        <v/>
      </c>
      <c r="O360" s="11" t="str">
        <f t="shared" ca="1" si="23"/>
        <v/>
      </c>
      <c r="P360" s="5"/>
    </row>
    <row r="361" spans="1:16" x14ac:dyDescent="0.25">
      <c r="A361" s="5"/>
      <c r="B361" s="5"/>
      <c r="C361" s="6" t="str">
        <f>IFERROR(INDEX(Suppliers!$B$5:$B$104,MATCH(B361,Suppliers!$A$5:$A$104,0)),"")</f>
        <v/>
      </c>
      <c r="D361" s="5"/>
      <c r="E361" s="5"/>
      <c r="F361" s="7"/>
      <c r="G361" s="7"/>
      <c r="H361" s="8"/>
      <c r="I361" s="9"/>
      <c r="J361" s="10" t="str">
        <f t="shared" si="20"/>
        <v/>
      </c>
      <c r="K361" s="11" t="str">
        <f>IF(A361="","",SUMIF(Receipts!$B$5:$B$510,A361,Receipts!$D$5:$D$510))</f>
        <v/>
      </c>
      <c r="L361" s="11" t="str">
        <f t="shared" si="21"/>
        <v/>
      </c>
      <c r="M361" s="12" t="str">
        <f>IF(COUNTIF(Receipts!$B$5:$B$510,A361)=0,"",IFERROR(LOOKUP(2,1/(Receipts!$B$5:$B$510=A361),Receipts!$C$5:$C$510),""))</f>
        <v/>
      </c>
      <c r="N361" s="6" t="str">
        <f t="shared" ca="1" si="22"/>
        <v/>
      </c>
      <c r="O361" s="11" t="str">
        <f t="shared" ca="1" si="23"/>
        <v/>
      </c>
      <c r="P361" s="5"/>
    </row>
    <row r="362" spans="1:16" x14ac:dyDescent="0.25">
      <c r="A362" s="5"/>
      <c r="B362" s="5"/>
      <c r="C362" s="6" t="str">
        <f>IFERROR(INDEX(Suppliers!$B$5:$B$104,MATCH(B362,Suppliers!$A$5:$A$104,0)),"")</f>
        <v/>
      </c>
      <c r="D362" s="5"/>
      <c r="E362" s="5"/>
      <c r="F362" s="7"/>
      <c r="G362" s="7"/>
      <c r="H362" s="8"/>
      <c r="I362" s="9"/>
      <c r="J362" s="10" t="str">
        <f t="shared" si="20"/>
        <v/>
      </c>
      <c r="K362" s="11" t="str">
        <f>IF(A362="","",SUMIF(Receipts!$B$5:$B$510,A362,Receipts!$D$5:$D$510))</f>
        <v/>
      </c>
      <c r="L362" s="11" t="str">
        <f t="shared" si="21"/>
        <v/>
      </c>
      <c r="M362" s="12" t="str">
        <f>IF(COUNTIF(Receipts!$B$5:$B$510,A362)=0,"",IFERROR(LOOKUP(2,1/(Receipts!$B$5:$B$510=A362),Receipts!$C$5:$C$510),""))</f>
        <v/>
      </c>
      <c r="N362" s="6" t="str">
        <f t="shared" ca="1" si="22"/>
        <v/>
      </c>
      <c r="O362" s="11" t="str">
        <f t="shared" ca="1" si="23"/>
        <v/>
      </c>
      <c r="P362" s="5"/>
    </row>
    <row r="363" spans="1:16" x14ac:dyDescent="0.25">
      <c r="A363" s="5"/>
      <c r="B363" s="5"/>
      <c r="C363" s="6" t="str">
        <f>IFERROR(INDEX(Suppliers!$B$5:$B$104,MATCH(B363,Suppliers!$A$5:$A$104,0)),"")</f>
        <v/>
      </c>
      <c r="D363" s="5"/>
      <c r="E363" s="5"/>
      <c r="F363" s="7"/>
      <c r="G363" s="7"/>
      <c r="H363" s="8"/>
      <c r="I363" s="9"/>
      <c r="J363" s="10" t="str">
        <f t="shared" si="20"/>
        <v/>
      </c>
      <c r="K363" s="11" t="str">
        <f>IF(A363="","",SUMIF(Receipts!$B$5:$B$510,A363,Receipts!$D$5:$D$510))</f>
        <v/>
      </c>
      <c r="L363" s="11" t="str">
        <f t="shared" si="21"/>
        <v/>
      </c>
      <c r="M363" s="12" t="str">
        <f>IF(COUNTIF(Receipts!$B$5:$B$510,A363)=0,"",IFERROR(LOOKUP(2,1/(Receipts!$B$5:$B$510=A363),Receipts!$C$5:$C$510),""))</f>
        <v/>
      </c>
      <c r="N363" s="6" t="str">
        <f t="shared" ca="1" si="22"/>
        <v/>
      </c>
      <c r="O363" s="11" t="str">
        <f t="shared" ca="1" si="23"/>
        <v/>
      </c>
      <c r="P363" s="5"/>
    </row>
    <row r="364" spans="1:16" x14ac:dyDescent="0.25">
      <c r="A364" s="5"/>
      <c r="B364" s="5"/>
      <c r="C364" s="6" t="str">
        <f>IFERROR(INDEX(Suppliers!$B$5:$B$104,MATCH(B364,Suppliers!$A$5:$A$104,0)),"")</f>
        <v/>
      </c>
      <c r="D364" s="5"/>
      <c r="E364" s="5"/>
      <c r="F364" s="7"/>
      <c r="G364" s="7"/>
      <c r="H364" s="8"/>
      <c r="I364" s="9"/>
      <c r="J364" s="10" t="str">
        <f t="shared" si="20"/>
        <v/>
      </c>
      <c r="K364" s="11" t="str">
        <f>IF(A364="","",SUMIF(Receipts!$B$5:$B$510,A364,Receipts!$D$5:$D$510))</f>
        <v/>
      </c>
      <c r="L364" s="11" t="str">
        <f t="shared" si="21"/>
        <v/>
      </c>
      <c r="M364" s="12" t="str">
        <f>IF(COUNTIF(Receipts!$B$5:$B$510,A364)=0,"",IFERROR(LOOKUP(2,1/(Receipts!$B$5:$B$510=A364),Receipts!$C$5:$C$510),""))</f>
        <v/>
      </c>
      <c r="N364" s="6" t="str">
        <f t="shared" ca="1" si="22"/>
        <v/>
      </c>
      <c r="O364" s="11" t="str">
        <f t="shared" ca="1" si="23"/>
        <v/>
      </c>
      <c r="P364" s="5"/>
    </row>
    <row r="365" spans="1:16" x14ac:dyDescent="0.25">
      <c r="A365" s="5"/>
      <c r="B365" s="5"/>
      <c r="C365" s="6" t="str">
        <f>IFERROR(INDEX(Suppliers!$B$5:$B$104,MATCH(B365,Suppliers!$A$5:$A$104,0)),"")</f>
        <v/>
      </c>
      <c r="D365" s="5"/>
      <c r="E365" s="5"/>
      <c r="F365" s="7"/>
      <c r="G365" s="7"/>
      <c r="H365" s="8"/>
      <c r="I365" s="9"/>
      <c r="J365" s="10" t="str">
        <f t="shared" si="20"/>
        <v/>
      </c>
      <c r="K365" s="11" t="str">
        <f>IF(A365="","",SUMIF(Receipts!$B$5:$B$510,A365,Receipts!$D$5:$D$510))</f>
        <v/>
      </c>
      <c r="L365" s="11" t="str">
        <f t="shared" si="21"/>
        <v/>
      </c>
      <c r="M365" s="12" t="str">
        <f>IF(COUNTIF(Receipts!$B$5:$B$510,A365)=0,"",IFERROR(LOOKUP(2,1/(Receipts!$B$5:$B$510=A365),Receipts!$C$5:$C$510),""))</f>
        <v/>
      </c>
      <c r="N365" s="6" t="str">
        <f t="shared" ca="1" si="22"/>
        <v/>
      </c>
      <c r="O365" s="11" t="str">
        <f t="shared" ca="1" si="23"/>
        <v/>
      </c>
      <c r="P365" s="5"/>
    </row>
    <row r="366" spans="1:16" x14ac:dyDescent="0.25">
      <c r="A366" s="5"/>
      <c r="B366" s="5"/>
      <c r="C366" s="6" t="str">
        <f>IFERROR(INDEX(Suppliers!$B$5:$B$104,MATCH(B366,Suppliers!$A$5:$A$104,0)),"")</f>
        <v/>
      </c>
      <c r="D366" s="5"/>
      <c r="E366" s="5"/>
      <c r="F366" s="7"/>
      <c r="G366" s="7"/>
      <c r="H366" s="8"/>
      <c r="I366" s="9"/>
      <c r="J366" s="10" t="str">
        <f t="shared" si="20"/>
        <v/>
      </c>
      <c r="K366" s="11" t="str">
        <f>IF(A366="","",SUMIF(Receipts!$B$5:$B$510,A366,Receipts!$D$5:$D$510))</f>
        <v/>
      </c>
      <c r="L366" s="11" t="str">
        <f t="shared" si="21"/>
        <v/>
      </c>
      <c r="M366" s="12" t="str">
        <f>IF(COUNTIF(Receipts!$B$5:$B$510,A366)=0,"",IFERROR(LOOKUP(2,1/(Receipts!$B$5:$B$510=A366),Receipts!$C$5:$C$510),""))</f>
        <v/>
      </c>
      <c r="N366" s="6" t="str">
        <f t="shared" ca="1" si="22"/>
        <v/>
      </c>
      <c r="O366" s="11" t="str">
        <f t="shared" ca="1" si="23"/>
        <v/>
      </c>
      <c r="P366" s="5"/>
    </row>
    <row r="367" spans="1:16" x14ac:dyDescent="0.25">
      <c r="A367" s="5"/>
      <c r="B367" s="5"/>
      <c r="C367" s="6" t="str">
        <f>IFERROR(INDEX(Suppliers!$B$5:$B$104,MATCH(B367,Suppliers!$A$5:$A$104,0)),"")</f>
        <v/>
      </c>
      <c r="D367" s="5"/>
      <c r="E367" s="5"/>
      <c r="F367" s="7"/>
      <c r="G367" s="7"/>
      <c r="H367" s="8"/>
      <c r="I367" s="9"/>
      <c r="J367" s="10" t="str">
        <f t="shared" si="20"/>
        <v/>
      </c>
      <c r="K367" s="11" t="str">
        <f>IF(A367="","",SUMIF(Receipts!$B$5:$B$510,A367,Receipts!$D$5:$D$510))</f>
        <v/>
      </c>
      <c r="L367" s="11" t="str">
        <f t="shared" si="21"/>
        <v/>
      </c>
      <c r="M367" s="12" t="str">
        <f>IF(COUNTIF(Receipts!$B$5:$B$510,A367)=0,"",IFERROR(LOOKUP(2,1/(Receipts!$B$5:$B$510=A367),Receipts!$C$5:$C$510),""))</f>
        <v/>
      </c>
      <c r="N367" s="6" t="str">
        <f t="shared" ca="1" si="22"/>
        <v/>
      </c>
      <c r="O367" s="11" t="str">
        <f t="shared" ca="1" si="23"/>
        <v/>
      </c>
      <c r="P367" s="5"/>
    </row>
    <row r="368" spans="1:16" x14ac:dyDescent="0.25">
      <c r="A368" s="5"/>
      <c r="B368" s="5"/>
      <c r="C368" s="6" t="str">
        <f>IFERROR(INDEX(Suppliers!$B$5:$B$104,MATCH(B368,Suppliers!$A$5:$A$104,0)),"")</f>
        <v/>
      </c>
      <c r="D368" s="5"/>
      <c r="E368" s="5"/>
      <c r="F368" s="7"/>
      <c r="G368" s="7"/>
      <c r="H368" s="8"/>
      <c r="I368" s="9"/>
      <c r="J368" s="10" t="str">
        <f t="shared" si="20"/>
        <v/>
      </c>
      <c r="K368" s="11" t="str">
        <f>IF(A368="","",SUMIF(Receipts!$B$5:$B$510,A368,Receipts!$D$5:$D$510))</f>
        <v/>
      </c>
      <c r="L368" s="11" t="str">
        <f t="shared" si="21"/>
        <v/>
      </c>
      <c r="M368" s="12" t="str">
        <f>IF(COUNTIF(Receipts!$B$5:$B$510,A368)=0,"",IFERROR(LOOKUP(2,1/(Receipts!$B$5:$B$510=A368),Receipts!$C$5:$C$510),""))</f>
        <v/>
      </c>
      <c r="N368" s="6" t="str">
        <f t="shared" ca="1" si="22"/>
        <v/>
      </c>
      <c r="O368" s="11" t="str">
        <f t="shared" ca="1" si="23"/>
        <v/>
      </c>
      <c r="P368" s="5"/>
    </row>
    <row r="369" spans="1:16" x14ac:dyDescent="0.25">
      <c r="A369" s="5"/>
      <c r="B369" s="5"/>
      <c r="C369" s="6" t="str">
        <f>IFERROR(INDEX(Suppliers!$B$5:$B$104,MATCH(B369,Suppliers!$A$5:$A$104,0)),"")</f>
        <v/>
      </c>
      <c r="D369" s="5"/>
      <c r="E369" s="5"/>
      <c r="F369" s="7"/>
      <c r="G369" s="7"/>
      <c r="H369" s="8"/>
      <c r="I369" s="9"/>
      <c r="J369" s="10" t="str">
        <f t="shared" si="20"/>
        <v/>
      </c>
      <c r="K369" s="11" t="str">
        <f>IF(A369="","",SUMIF(Receipts!$B$5:$B$510,A369,Receipts!$D$5:$D$510))</f>
        <v/>
      </c>
      <c r="L369" s="11" t="str">
        <f t="shared" si="21"/>
        <v/>
      </c>
      <c r="M369" s="12" t="str">
        <f>IF(COUNTIF(Receipts!$B$5:$B$510,A369)=0,"",IFERROR(LOOKUP(2,1/(Receipts!$B$5:$B$510=A369),Receipts!$C$5:$C$510),""))</f>
        <v/>
      </c>
      <c r="N369" s="6" t="str">
        <f t="shared" ca="1" si="22"/>
        <v/>
      </c>
      <c r="O369" s="11" t="str">
        <f t="shared" ca="1" si="23"/>
        <v/>
      </c>
      <c r="P369" s="5"/>
    </row>
    <row r="370" spans="1:16" x14ac:dyDescent="0.25">
      <c r="A370" s="5"/>
      <c r="B370" s="5"/>
      <c r="C370" s="6" t="str">
        <f>IFERROR(INDEX(Suppliers!$B$5:$B$104,MATCH(B370,Suppliers!$A$5:$A$104,0)),"")</f>
        <v/>
      </c>
      <c r="D370" s="5"/>
      <c r="E370" s="5"/>
      <c r="F370" s="7"/>
      <c r="G370" s="7"/>
      <c r="H370" s="8"/>
      <c r="I370" s="9"/>
      <c r="J370" s="10" t="str">
        <f t="shared" si="20"/>
        <v/>
      </c>
      <c r="K370" s="11" t="str">
        <f>IF(A370="","",SUMIF(Receipts!$B$5:$B$510,A370,Receipts!$D$5:$D$510))</f>
        <v/>
      </c>
      <c r="L370" s="11" t="str">
        <f t="shared" si="21"/>
        <v/>
      </c>
      <c r="M370" s="12" t="str">
        <f>IF(COUNTIF(Receipts!$B$5:$B$510,A370)=0,"",IFERROR(LOOKUP(2,1/(Receipts!$B$5:$B$510=A370),Receipts!$C$5:$C$510),""))</f>
        <v/>
      </c>
      <c r="N370" s="6" t="str">
        <f t="shared" ca="1" si="22"/>
        <v/>
      </c>
      <c r="O370" s="11" t="str">
        <f t="shared" ca="1" si="23"/>
        <v/>
      </c>
      <c r="P370" s="5"/>
    </row>
    <row r="371" spans="1:16" x14ac:dyDescent="0.25">
      <c r="A371" s="5"/>
      <c r="B371" s="5"/>
      <c r="C371" s="6" t="str">
        <f>IFERROR(INDEX(Suppliers!$B$5:$B$104,MATCH(B371,Suppliers!$A$5:$A$104,0)),"")</f>
        <v/>
      </c>
      <c r="D371" s="5"/>
      <c r="E371" s="5"/>
      <c r="F371" s="7"/>
      <c r="G371" s="7"/>
      <c r="H371" s="8"/>
      <c r="I371" s="9"/>
      <c r="J371" s="10" t="str">
        <f t="shared" si="20"/>
        <v/>
      </c>
      <c r="K371" s="11" t="str">
        <f>IF(A371="","",SUMIF(Receipts!$B$5:$B$510,A371,Receipts!$D$5:$D$510))</f>
        <v/>
      </c>
      <c r="L371" s="11" t="str">
        <f t="shared" si="21"/>
        <v/>
      </c>
      <c r="M371" s="12" t="str">
        <f>IF(COUNTIF(Receipts!$B$5:$B$510,A371)=0,"",IFERROR(LOOKUP(2,1/(Receipts!$B$5:$B$510=A371),Receipts!$C$5:$C$510),""))</f>
        <v/>
      </c>
      <c r="N371" s="6" t="str">
        <f t="shared" ca="1" si="22"/>
        <v/>
      </c>
      <c r="O371" s="11" t="str">
        <f t="shared" ca="1" si="23"/>
        <v/>
      </c>
      <c r="P371" s="5"/>
    </row>
    <row r="372" spans="1:16" x14ac:dyDescent="0.25">
      <c r="A372" s="5"/>
      <c r="B372" s="5"/>
      <c r="C372" s="6" t="str">
        <f>IFERROR(INDEX(Suppliers!$B$5:$B$104,MATCH(B372,Suppliers!$A$5:$A$104,0)),"")</f>
        <v/>
      </c>
      <c r="D372" s="5"/>
      <c r="E372" s="5"/>
      <c r="F372" s="7"/>
      <c r="G372" s="7"/>
      <c r="H372" s="8"/>
      <c r="I372" s="9"/>
      <c r="J372" s="10" t="str">
        <f t="shared" si="20"/>
        <v/>
      </c>
      <c r="K372" s="11" t="str">
        <f>IF(A372="","",SUMIF(Receipts!$B$5:$B$510,A372,Receipts!$D$5:$D$510))</f>
        <v/>
      </c>
      <c r="L372" s="11" t="str">
        <f t="shared" si="21"/>
        <v/>
      </c>
      <c r="M372" s="12" t="str">
        <f>IF(COUNTIF(Receipts!$B$5:$B$510,A372)=0,"",IFERROR(LOOKUP(2,1/(Receipts!$B$5:$B$510=A372),Receipts!$C$5:$C$510),""))</f>
        <v/>
      </c>
      <c r="N372" s="6" t="str">
        <f t="shared" ca="1" si="22"/>
        <v/>
      </c>
      <c r="O372" s="11" t="str">
        <f t="shared" ca="1" si="23"/>
        <v/>
      </c>
      <c r="P372" s="5"/>
    </row>
    <row r="373" spans="1:16" x14ac:dyDescent="0.25">
      <c r="A373" s="5"/>
      <c r="B373" s="5"/>
      <c r="C373" s="6" t="str">
        <f>IFERROR(INDEX(Suppliers!$B$5:$B$104,MATCH(B373,Suppliers!$A$5:$A$104,0)),"")</f>
        <v/>
      </c>
      <c r="D373" s="5"/>
      <c r="E373" s="5"/>
      <c r="F373" s="7"/>
      <c r="G373" s="7"/>
      <c r="H373" s="8"/>
      <c r="I373" s="9"/>
      <c r="J373" s="10" t="str">
        <f t="shared" si="20"/>
        <v/>
      </c>
      <c r="K373" s="11" t="str">
        <f>IF(A373="","",SUMIF(Receipts!$B$5:$B$510,A373,Receipts!$D$5:$D$510))</f>
        <v/>
      </c>
      <c r="L373" s="11" t="str">
        <f t="shared" si="21"/>
        <v/>
      </c>
      <c r="M373" s="12" t="str">
        <f>IF(COUNTIF(Receipts!$B$5:$B$510,A373)=0,"",IFERROR(LOOKUP(2,1/(Receipts!$B$5:$B$510=A373),Receipts!$C$5:$C$510),""))</f>
        <v/>
      </c>
      <c r="N373" s="6" t="str">
        <f t="shared" ca="1" si="22"/>
        <v/>
      </c>
      <c r="O373" s="11" t="str">
        <f t="shared" ca="1" si="23"/>
        <v/>
      </c>
      <c r="P373" s="5"/>
    </row>
    <row r="374" spans="1:16" x14ac:dyDescent="0.25">
      <c r="A374" s="5"/>
      <c r="B374" s="5"/>
      <c r="C374" s="6" t="str">
        <f>IFERROR(INDEX(Suppliers!$B$5:$B$104,MATCH(B374,Suppliers!$A$5:$A$104,0)),"")</f>
        <v/>
      </c>
      <c r="D374" s="5"/>
      <c r="E374" s="5"/>
      <c r="F374" s="7"/>
      <c r="G374" s="7"/>
      <c r="H374" s="8"/>
      <c r="I374" s="9"/>
      <c r="J374" s="10" t="str">
        <f t="shared" si="20"/>
        <v/>
      </c>
      <c r="K374" s="11" t="str">
        <f>IF(A374="","",SUMIF(Receipts!$B$5:$B$510,A374,Receipts!$D$5:$D$510))</f>
        <v/>
      </c>
      <c r="L374" s="11" t="str">
        <f t="shared" si="21"/>
        <v/>
      </c>
      <c r="M374" s="12" t="str">
        <f>IF(COUNTIF(Receipts!$B$5:$B$510,A374)=0,"",IFERROR(LOOKUP(2,1/(Receipts!$B$5:$B$510=A374),Receipts!$C$5:$C$510),""))</f>
        <v/>
      </c>
      <c r="N374" s="6" t="str">
        <f t="shared" ca="1" si="22"/>
        <v/>
      </c>
      <c r="O374" s="11" t="str">
        <f t="shared" ca="1" si="23"/>
        <v/>
      </c>
      <c r="P374" s="5"/>
    </row>
    <row r="375" spans="1:16" x14ac:dyDescent="0.25">
      <c r="A375" s="5"/>
      <c r="B375" s="5"/>
      <c r="C375" s="6" t="str">
        <f>IFERROR(INDEX(Suppliers!$B$5:$B$104,MATCH(B375,Suppliers!$A$5:$A$104,0)),"")</f>
        <v/>
      </c>
      <c r="D375" s="5"/>
      <c r="E375" s="5"/>
      <c r="F375" s="7"/>
      <c r="G375" s="7"/>
      <c r="H375" s="8"/>
      <c r="I375" s="9"/>
      <c r="J375" s="10" t="str">
        <f t="shared" si="20"/>
        <v/>
      </c>
      <c r="K375" s="11" t="str">
        <f>IF(A375="","",SUMIF(Receipts!$B$5:$B$510,A375,Receipts!$D$5:$D$510))</f>
        <v/>
      </c>
      <c r="L375" s="11" t="str">
        <f t="shared" si="21"/>
        <v/>
      </c>
      <c r="M375" s="12" t="str">
        <f>IF(COUNTIF(Receipts!$B$5:$B$510,A375)=0,"",IFERROR(LOOKUP(2,1/(Receipts!$B$5:$B$510=A375),Receipts!$C$5:$C$510),""))</f>
        <v/>
      </c>
      <c r="N375" s="6" t="str">
        <f t="shared" ca="1" si="22"/>
        <v/>
      </c>
      <c r="O375" s="11" t="str">
        <f t="shared" ca="1" si="23"/>
        <v/>
      </c>
      <c r="P375" s="5"/>
    </row>
    <row r="376" spans="1:16" x14ac:dyDescent="0.25">
      <c r="A376" s="5"/>
      <c r="B376" s="5"/>
      <c r="C376" s="6" t="str">
        <f>IFERROR(INDEX(Suppliers!$B$5:$B$104,MATCH(B376,Suppliers!$A$5:$A$104,0)),"")</f>
        <v/>
      </c>
      <c r="D376" s="5"/>
      <c r="E376" s="5"/>
      <c r="F376" s="7"/>
      <c r="G376" s="7"/>
      <c r="H376" s="8"/>
      <c r="I376" s="9"/>
      <c r="J376" s="10" t="str">
        <f t="shared" si="20"/>
        <v/>
      </c>
      <c r="K376" s="11" t="str">
        <f>IF(A376="","",SUMIF(Receipts!$B$5:$B$510,A376,Receipts!$D$5:$D$510))</f>
        <v/>
      </c>
      <c r="L376" s="11" t="str">
        <f t="shared" si="21"/>
        <v/>
      </c>
      <c r="M376" s="12" t="str">
        <f>IF(COUNTIF(Receipts!$B$5:$B$510,A376)=0,"",IFERROR(LOOKUP(2,1/(Receipts!$B$5:$B$510=A376),Receipts!$C$5:$C$510),""))</f>
        <v/>
      </c>
      <c r="N376" s="6" t="str">
        <f t="shared" ca="1" si="22"/>
        <v/>
      </c>
      <c r="O376" s="11" t="str">
        <f t="shared" ca="1" si="23"/>
        <v/>
      </c>
      <c r="P376" s="5"/>
    </row>
    <row r="377" spans="1:16" x14ac:dyDescent="0.25">
      <c r="A377" s="5"/>
      <c r="B377" s="5"/>
      <c r="C377" s="6" t="str">
        <f>IFERROR(INDEX(Suppliers!$B$5:$B$104,MATCH(B377,Suppliers!$A$5:$A$104,0)),"")</f>
        <v/>
      </c>
      <c r="D377" s="5"/>
      <c r="E377" s="5"/>
      <c r="F377" s="7"/>
      <c r="G377" s="7"/>
      <c r="H377" s="8"/>
      <c r="I377" s="9"/>
      <c r="J377" s="10" t="str">
        <f t="shared" si="20"/>
        <v/>
      </c>
      <c r="K377" s="11" t="str">
        <f>IF(A377="","",SUMIF(Receipts!$B$5:$B$510,A377,Receipts!$D$5:$D$510))</f>
        <v/>
      </c>
      <c r="L377" s="11" t="str">
        <f t="shared" si="21"/>
        <v/>
      </c>
      <c r="M377" s="12" t="str">
        <f>IF(COUNTIF(Receipts!$B$5:$B$510,A377)=0,"",IFERROR(LOOKUP(2,1/(Receipts!$B$5:$B$510=A377),Receipts!$C$5:$C$510),""))</f>
        <v/>
      </c>
      <c r="N377" s="6" t="str">
        <f t="shared" ca="1" si="22"/>
        <v/>
      </c>
      <c r="O377" s="11" t="str">
        <f t="shared" ca="1" si="23"/>
        <v/>
      </c>
      <c r="P377" s="5"/>
    </row>
    <row r="378" spans="1:16" x14ac:dyDescent="0.25">
      <c r="A378" s="5"/>
      <c r="B378" s="5"/>
      <c r="C378" s="6" t="str">
        <f>IFERROR(INDEX(Suppliers!$B$5:$B$104,MATCH(B378,Suppliers!$A$5:$A$104,0)),"")</f>
        <v/>
      </c>
      <c r="D378" s="5"/>
      <c r="E378" s="5"/>
      <c r="F378" s="7"/>
      <c r="G378" s="7"/>
      <c r="H378" s="8"/>
      <c r="I378" s="9"/>
      <c r="J378" s="10" t="str">
        <f t="shared" si="20"/>
        <v/>
      </c>
      <c r="K378" s="11" t="str">
        <f>IF(A378="","",SUMIF(Receipts!$B$5:$B$510,A378,Receipts!$D$5:$D$510))</f>
        <v/>
      </c>
      <c r="L378" s="11" t="str">
        <f t="shared" si="21"/>
        <v/>
      </c>
      <c r="M378" s="12" t="str">
        <f>IF(COUNTIF(Receipts!$B$5:$B$510,A378)=0,"",IFERROR(LOOKUP(2,1/(Receipts!$B$5:$B$510=A378),Receipts!$C$5:$C$510),""))</f>
        <v/>
      </c>
      <c r="N378" s="6" t="str">
        <f t="shared" ca="1" si="22"/>
        <v/>
      </c>
      <c r="O378" s="11" t="str">
        <f t="shared" ca="1" si="23"/>
        <v/>
      </c>
      <c r="P378" s="5"/>
    </row>
    <row r="379" spans="1:16" x14ac:dyDescent="0.25">
      <c r="A379" s="5"/>
      <c r="B379" s="5"/>
      <c r="C379" s="6" t="str">
        <f>IFERROR(INDEX(Suppliers!$B$5:$B$104,MATCH(B379,Suppliers!$A$5:$A$104,0)),"")</f>
        <v/>
      </c>
      <c r="D379" s="5"/>
      <c r="E379" s="5"/>
      <c r="F379" s="7"/>
      <c r="G379" s="7"/>
      <c r="H379" s="8"/>
      <c r="I379" s="9"/>
      <c r="J379" s="10" t="str">
        <f t="shared" si="20"/>
        <v/>
      </c>
      <c r="K379" s="11" t="str">
        <f>IF(A379="","",SUMIF(Receipts!$B$5:$B$510,A379,Receipts!$D$5:$D$510))</f>
        <v/>
      </c>
      <c r="L379" s="11" t="str">
        <f t="shared" si="21"/>
        <v/>
      </c>
      <c r="M379" s="12" t="str">
        <f>IF(COUNTIF(Receipts!$B$5:$B$510,A379)=0,"",IFERROR(LOOKUP(2,1/(Receipts!$B$5:$B$510=A379),Receipts!$C$5:$C$510),""))</f>
        <v/>
      </c>
      <c r="N379" s="6" t="str">
        <f t="shared" ca="1" si="22"/>
        <v/>
      </c>
      <c r="O379" s="11" t="str">
        <f t="shared" ca="1" si="23"/>
        <v/>
      </c>
      <c r="P379" s="5"/>
    </row>
    <row r="380" spans="1:16" x14ac:dyDescent="0.25">
      <c r="A380" s="5"/>
      <c r="B380" s="5"/>
      <c r="C380" s="6" t="str">
        <f>IFERROR(INDEX(Suppliers!$B$5:$B$104,MATCH(B380,Suppliers!$A$5:$A$104,0)),"")</f>
        <v/>
      </c>
      <c r="D380" s="5"/>
      <c r="E380" s="5"/>
      <c r="F380" s="7"/>
      <c r="G380" s="7"/>
      <c r="H380" s="8"/>
      <c r="I380" s="9"/>
      <c r="J380" s="10" t="str">
        <f t="shared" si="20"/>
        <v/>
      </c>
      <c r="K380" s="11" t="str">
        <f>IF(A380="","",SUMIF(Receipts!$B$5:$B$510,A380,Receipts!$D$5:$D$510))</f>
        <v/>
      </c>
      <c r="L380" s="11" t="str">
        <f t="shared" si="21"/>
        <v/>
      </c>
      <c r="M380" s="12" t="str">
        <f>IF(COUNTIF(Receipts!$B$5:$B$510,A380)=0,"",IFERROR(LOOKUP(2,1/(Receipts!$B$5:$B$510=A380),Receipts!$C$5:$C$510),""))</f>
        <v/>
      </c>
      <c r="N380" s="6" t="str">
        <f t="shared" ca="1" si="22"/>
        <v/>
      </c>
      <c r="O380" s="11" t="str">
        <f t="shared" ca="1" si="23"/>
        <v/>
      </c>
      <c r="P380" s="5"/>
    </row>
    <row r="381" spans="1:16" x14ac:dyDescent="0.25">
      <c r="A381" s="5"/>
      <c r="B381" s="5"/>
      <c r="C381" s="6" t="str">
        <f>IFERROR(INDEX(Suppliers!$B$5:$B$104,MATCH(B381,Suppliers!$A$5:$A$104,0)),"")</f>
        <v/>
      </c>
      <c r="D381" s="5"/>
      <c r="E381" s="5"/>
      <c r="F381" s="7"/>
      <c r="G381" s="7"/>
      <c r="H381" s="8"/>
      <c r="I381" s="9"/>
      <c r="J381" s="10" t="str">
        <f t="shared" si="20"/>
        <v/>
      </c>
      <c r="K381" s="11" t="str">
        <f>IF(A381="","",SUMIF(Receipts!$B$5:$B$510,A381,Receipts!$D$5:$D$510))</f>
        <v/>
      </c>
      <c r="L381" s="11" t="str">
        <f t="shared" si="21"/>
        <v/>
      </c>
      <c r="M381" s="12" t="str">
        <f>IF(COUNTIF(Receipts!$B$5:$B$510,A381)=0,"",IFERROR(LOOKUP(2,1/(Receipts!$B$5:$B$510=A381),Receipts!$C$5:$C$510),""))</f>
        <v/>
      </c>
      <c r="N381" s="6" t="str">
        <f t="shared" ca="1" si="22"/>
        <v/>
      </c>
      <c r="O381" s="11" t="str">
        <f t="shared" ca="1" si="23"/>
        <v/>
      </c>
      <c r="P381" s="5"/>
    </row>
    <row r="382" spans="1:16" x14ac:dyDescent="0.25">
      <c r="A382" s="5"/>
      <c r="B382" s="5"/>
      <c r="C382" s="6" t="str">
        <f>IFERROR(INDEX(Suppliers!$B$5:$B$104,MATCH(B382,Suppliers!$A$5:$A$104,0)),"")</f>
        <v/>
      </c>
      <c r="D382" s="5"/>
      <c r="E382" s="5"/>
      <c r="F382" s="7"/>
      <c r="G382" s="7"/>
      <c r="H382" s="8"/>
      <c r="I382" s="9"/>
      <c r="J382" s="10" t="str">
        <f t="shared" si="20"/>
        <v/>
      </c>
      <c r="K382" s="11" t="str">
        <f>IF(A382="","",SUMIF(Receipts!$B$5:$B$510,A382,Receipts!$D$5:$D$510))</f>
        <v/>
      </c>
      <c r="L382" s="11" t="str">
        <f t="shared" si="21"/>
        <v/>
      </c>
      <c r="M382" s="12" t="str">
        <f>IF(COUNTIF(Receipts!$B$5:$B$510,A382)=0,"",IFERROR(LOOKUP(2,1/(Receipts!$B$5:$B$510=A382),Receipts!$C$5:$C$510),""))</f>
        <v/>
      </c>
      <c r="N382" s="6" t="str">
        <f t="shared" ca="1" si="22"/>
        <v/>
      </c>
      <c r="O382" s="11" t="str">
        <f t="shared" ca="1" si="23"/>
        <v/>
      </c>
      <c r="P382" s="5"/>
    </row>
    <row r="383" spans="1:16" x14ac:dyDescent="0.25">
      <c r="A383" s="5"/>
      <c r="B383" s="5"/>
      <c r="C383" s="6" t="str">
        <f>IFERROR(INDEX(Suppliers!$B$5:$B$104,MATCH(B383,Suppliers!$A$5:$A$104,0)),"")</f>
        <v/>
      </c>
      <c r="D383" s="5"/>
      <c r="E383" s="5"/>
      <c r="F383" s="7"/>
      <c r="G383" s="7"/>
      <c r="H383" s="8"/>
      <c r="I383" s="9"/>
      <c r="J383" s="10" t="str">
        <f t="shared" si="20"/>
        <v/>
      </c>
      <c r="K383" s="11" t="str">
        <f>IF(A383="","",SUMIF(Receipts!$B$5:$B$510,A383,Receipts!$D$5:$D$510))</f>
        <v/>
      </c>
      <c r="L383" s="11" t="str">
        <f t="shared" si="21"/>
        <v/>
      </c>
      <c r="M383" s="12" t="str">
        <f>IF(COUNTIF(Receipts!$B$5:$B$510,A383)=0,"",IFERROR(LOOKUP(2,1/(Receipts!$B$5:$B$510=A383),Receipts!$C$5:$C$510),""))</f>
        <v/>
      </c>
      <c r="N383" s="6" t="str">
        <f t="shared" ca="1" si="22"/>
        <v/>
      </c>
      <c r="O383" s="11" t="str">
        <f t="shared" ca="1" si="23"/>
        <v/>
      </c>
      <c r="P383" s="5"/>
    </row>
    <row r="384" spans="1:16" x14ac:dyDescent="0.25">
      <c r="A384" s="5"/>
      <c r="B384" s="5"/>
      <c r="C384" s="6" t="str">
        <f>IFERROR(INDEX(Suppliers!$B$5:$B$104,MATCH(B384,Suppliers!$A$5:$A$104,0)),"")</f>
        <v/>
      </c>
      <c r="D384" s="5"/>
      <c r="E384" s="5"/>
      <c r="F384" s="7"/>
      <c r="G384" s="7"/>
      <c r="H384" s="8"/>
      <c r="I384" s="9"/>
      <c r="J384" s="10" t="str">
        <f t="shared" si="20"/>
        <v/>
      </c>
      <c r="K384" s="11" t="str">
        <f>IF(A384="","",SUMIF(Receipts!$B$5:$B$510,A384,Receipts!$D$5:$D$510))</f>
        <v/>
      </c>
      <c r="L384" s="11" t="str">
        <f t="shared" si="21"/>
        <v/>
      </c>
      <c r="M384" s="12" t="str">
        <f>IF(COUNTIF(Receipts!$B$5:$B$510,A384)=0,"",IFERROR(LOOKUP(2,1/(Receipts!$B$5:$B$510=A384),Receipts!$C$5:$C$510),""))</f>
        <v/>
      </c>
      <c r="N384" s="6" t="str">
        <f t="shared" ca="1" si="22"/>
        <v/>
      </c>
      <c r="O384" s="11" t="str">
        <f t="shared" ca="1" si="23"/>
        <v/>
      </c>
      <c r="P384" s="5"/>
    </row>
    <row r="385" spans="1:16" x14ac:dyDescent="0.25">
      <c r="A385" s="5"/>
      <c r="B385" s="5"/>
      <c r="C385" s="6" t="str">
        <f>IFERROR(INDEX(Suppliers!$B$5:$B$104,MATCH(B385,Suppliers!$A$5:$A$104,0)),"")</f>
        <v/>
      </c>
      <c r="D385" s="5"/>
      <c r="E385" s="5"/>
      <c r="F385" s="7"/>
      <c r="G385" s="7"/>
      <c r="H385" s="8"/>
      <c r="I385" s="9"/>
      <c r="J385" s="10" t="str">
        <f t="shared" si="20"/>
        <v/>
      </c>
      <c r="K385" s="11" t="str">
        <f>IF(A385="","",SUMIF(Receipts!$B$5:$B$510,A385,Receipts!$D$5:$D$510))</f>
        <v/>
      </c>
      <c r="L385" s="11" t="str">
        <f t="shared" si="21"/>
        <v/>
      </c>
      <c r="M385" s="12" t="str">
        <f>IF(COUNTIF(Receipts!$B$5:$B$510,A385)=0,"",IFERROR(LOOKUP(2,1/(Receipts!$B$5:$B$510=A385),Receipts!$C$5:$C$510),""))</f>
        <v/>
      </c>
      <c r="N385" s="6" t="str">
        <f t="shared" ca="1" si="22"/>
        <v/>
      </c>
      <c r="O385" s="11" t="str">
        <f t="shared" ca="1" si="23"/>
        <v/>
      </c>
      <c r="P385" s="5"/>
    </row>
    <row r="386" spans="1:16" x14ac:dyDescent="0.25">
      <c r="A386" s="5"/>
      <c r="B386" s="5"/>
      <c r="C386" s="6" t="str">
        <f>IFERROR(INDEX(Suppliers!$B$5:$B$104,MATCH(B386,Suppliers!$A$5:$A$104,0)),"")</f>
        <v/>
      </c>
      <c r="D386" s="5"/>
      <c r="E386" s="5"/>
      <c r="F386" s="7"/>
      <c r="G386" s="7"/>
      <c r="H386" s="8"/>
      <c r="I386" s="9"/>
      <c r="J386" s="10" t="str">
        <f t="shared" si="20"/>
        <v/>
      </c>
      <c r="K386" s="11" t="str">
        <f>IF(A386="","",SUMIF(Receipts!$B$5:$B$510,A386,Receipts!$D$5:$D$510))</f>
        <v/>
      </c>
      <c r="L386" s="11" t="str">
        <f t="shared" si="21"/>
        <v/>
      </c>
      <c r="M386" s="12" t="str">
        <f>IF(COUNTIF(Receipts!$B$5:$B$510,A386)=0,"",IFERROR(LOOKUP(2,1/(Receipts!$B$5:$B$510=A386),Receipts!$C$5:$C$510),""))</f>
        <v/>
      </c>
      <c r="N386" s="6" t="str">
        <f t="shared" ca="1" si="22"/>
        <v/>
      </c>
      <c r="O386" s="11" t="str">
        <f t="shared" ca="1" si="23"/>
        <v/>
      </c>
      <c r="P386" s="5"/>
    </row>
    <row r="387" spans="1:16" x14ac:dyDescent="0.25">
      <c r="A387" s="5"/>
      <c r="B387" s="5"/>
      <c r="C387" s="6" t="str">
        <f>IFERROR(INDEX(Suppliers!$B$5:$B$104,MATCH(B387,Suppliers!$A$5:$A$104,0)),"")</f>
        <v/>
      </c>
      <c r="D387" s="5"/>
      <c r="E387" s="5"/>
      <c r="F387" s="7"/>
      <c r="G387" s="7"/>
      <c r="H387" s="8"/>
      <c r="I387" s="9"/>
      <c r="J387" s="10" t="str">
        <f t="shared" si="20"/>
        <v/>
      </c>
      <c r="K387" s="11" t="str">
        <f>IF(A387="","",SUMIF(Receipts!$B$5:$B$510,A387,Receipts!$D$5:$D$510))</f>
        <v/>
      </c>
      <c r="L387" s="11" t="str">
        <f t="shared" si="21"/>
        <v/>
      </c>
      <c r="M387" s="12" t="str">
        <f>IF(COUNTIF(Receipts!$B$5:$B$510,A387)=0,"",IFERROR(LOOKUP(2,1/(Receipts!$B$5:$B$510=A387),Receipts!$C$5:$C$510),""))</f>
        <v/>
      </c>
      <c r="N387" s="6" t="str">
        <f t="shared" ca="1" si="22"/>
        <v/>
      </c>
      <c r="O387" s="11" t="str">
        <f t="shared" ca="1" si="23"/>
        <v/>
      </c>
      <c r="P387" s="5"/>
    </row>
    <row r="388" spans="1:16" x14ac:dyDescent="0.25">
      <c r="A388" s="5"/>
      <c r="B388" s="5"/>
      <c r="C388" s="6" t="str">
        <f>IFERROR(INDEX(Suppliers!$B$5:$B$104,MATCH(B388,Suppliers!$A$5:$A$104,0)),"")</f>
        <v/>
      </c>
      <c r="D388" s="5"/>
      <c r="E388" s="5"/>
      <c r="F388" s="7"/>
      <c r="G388" s="7"/>
      <c r="H388" s="8"/>
      <c r="I388" s="9"/>
      <c r="J388" s="10" t="str">
        <f t="shared" si="20"/>
        <v/>
      </c>
      <c r="K388" s="11" t="str">
        <f>IF(A388="","",SUMIF(Receipts!$B$5:$B$510,A388,Receipts!$D$5:$D$510))</f>
        <v/>
      </c>
      <c r="L388" s="11" t="str">
        <f t="shared" si="21"/>
        <v/>
      </c>
      <c r="M388" s="12" t="str">
        <f>IF(COUNTIF(Receipts!$B$5:$B$510,A388)=0,"",IFERROR(LOOKUP(2,1/(Receipts!$B$5:$B$510=A388),Receipts!$C$5:$C$510),""))</f>
        <v/>
      </c>
      <c r="N388" s="6" t="str">
        <f t="shared" ca="1" si="22"/>
        <v/>
      </c>
      <c r="O388" s="11" t="str">
        <f t="shared" ca="1" si="23"/>
        <v/>
      </c>
      <c r="P388" s="5"/>
    </row>
    <row r="389" spans="1:16" x14ac:dyDescent="0.25">
      <c r="A389" s="5"/>
      <c r="B389" s="5"/>
      <c r="C389" s="6" t="str">
        <f>IFERROR(INDEX(Suppliers!$B$5:$B$104,MATCH(B389,Suppliers!$A$5:$A$104,0)),"")</f>
        <v/>
      </c>
      <c r="D389" s="5"/>
      <c r="E389" s="5"/>
      <c r="F389" s="7"/>
      <c r="G389" s="7"/>
      <c r="H389" s="8"/>
      <c r="I389" s="9"/>
      <c r="J389" s="10" t="str">
        <f t="shared" ref="J389:J452" si="24">IF(OR(H389="",I389=""),"",H389*I389)</f>
        <v/>
      </c>
      <c r="K389" s="11" t="str">
        <f>IF(A389="","",SUMIF(Receipts!$B$5:$B$510,A389,Receipts!$D$5:$D$510))</f>
        <v/>
      </c>
      <c r="L389" s="11" t="str">
        <f t="shared" ref="L389:L452" si="25">IF(A389="","",MAX(0,H389-K389))</f>
        <v/>
      </c>
      <c r="M389" s="12" t="str">
        <f>IF(COUNTIF(Receipts!$B$5:$B$510,A389)=0,"",IFERROR(LOOKUP(2,1/(Receipts!$B$5:$B$510=A389),Receipts!$C$5:$C$510),""))</f>
        <v/>
      </c>
      <c r="N389" s="6" t="str">
        <f t="shared" ref="N389:N452" ca="1" si="26">IF(A389="","",IF(OR(H389="",G389=""),"Incomplete",IF(K389&gt;H389,"Over-received",IF(L389=0,"Complete",IF(K389&gt;0,IF(G389&lt;TODAY(),"Overdue - Partial","Partially Received"),IF(G389&lt;TODAY(),"Overdue","Scheduled"))))))</f>
        <v/>
      </c>
      <c r="O389" s="11" t="str">
        <f t="shared" ref="O389:O452" ca="1" si="27">IF(OR(A389="",L389=0,G389=""),"",MAX(0,TODAY()-G389))</f>
        <v/>
      </c>
      <c r="P389" s="5"/>
    </row>
    <row r="390" spans="1:16" x14ac:dyDescent="0.25">
      <c r="A390" s="5"/>
      <c r="B390" s="5"/>
      <c r="C390" s="6" t="str">
        <f>IFERROR(INDEX(Suppliers!$B$5:$B$104,MATCH(B390,Suppliers!$A$5:$A$104,0)),"")</f>
        <v/>
      </c>
      <c r="D390" s="5"/>
      <c r="E390" s="5"/>
      <c r="F390" s="7"/>
      <c r="G390" s="7"/>
      <c r="H390" s="8"/>
      <c r="I390" s="9"/>
      <c r="J390" s="10" t="str">
        <f t="shared" si="24"/>
        <v/>
      </c>
      <c r="K390" s="11" t="str">
        <f>IF(A390="","",SUMIF(Receipts!$B$5:$B$510,A390,Receipts!$D$5:$D$510))</f>
        <v/>
      </c>
      <c r="L390" s="11" t="str">
        <f t="shared" si="25"/>
        <v/>
      </c>
      <c r="M390" s="12" t="str">
        <f>IF(COUNTIF(Receipts!$B$5:$B$510,A390)=0,"",IFERROR(LOOKUP(2,1/(Receipts!$B$5:$B$510=A390),Receipts!$C$5:$C$510),""))</f>
        <v/>
      </c>
      <c r="N390" s="6" t="str">
        <f t="shared" ca="1" si="26"/>
        <v/>
      </c>
      <c r="O390" s="11" t="str">
        <f t="shared" ca="1" si="27"/>
        <v/>
      </c>
      <c r="P390" s="5"/>
    </row>
    <row r="391" spans="1:16" x14ac:dyDescent="0.25">
      <c r="A391" s="5"/>
      <c r="B391" s="5"/>
      <c r="C391" s="6" t="str">
        <f>IFERROR(INDEX(Suppliers!$B$5:$B$104,MATCH(B391,Suppliers!$A$5:$A$104,0)),"")</f>
        <v/>
      </c>
      <c r="D391" s="5"/>
      <c r="E391" s="5"/>
      <c r="F391" s="7"/>
      <c r="G391" s="7"/>
      <c r="H391" s="8"/>
      <c r="I391" s="9"/>
      <c r="J391" s="10" t="str">
        <f t="shared" si="24"/>
        <v/>
      </c>
      <c r="K391" s="11" t="str">
        <f>IF(A391="","",SUMIF(Receipts!$B$5:$B$510,A391,Receipts!$D$5:$D$510))</f>
        <v/>
      </c>
      <c r="L391" s="11" t="str">
        <f t="shared" si="25"/>
        <v/>
      </c>
      <c r="M391" s="12" t="str">
        <f>IF(COUNTIF(Receipts!$B$5:$B$510,A391)=0,"",IFERROR(LOOKUP(2,1/(Receipts!$B$5:$B$510=A391),Receipts!$C$5:$C$510),""))</f>
        <v/>
      </c>
      <c r="N391" s="6" t="str">
        <f t="shared" ca="1" si="26"/>
        <v/>
      </c>
      <c r="O391" s="11" t="str">
        <f t="shared" ca="1" si="27"/>
        <v/>
      </c>
      <c r="P391" s="5"/>
    </row>
    <row r="392" spans="1:16" x14ac:dyDescent="0.25">
      <c r="A392" s="5"/>
      <c r="B392" s="5"/>
      <c r="C392" s="6" t="str">
        <f>IFERROR(INDEX(Suppliers!$B$5:$B$104,MATCH(B392,Suppliers!$A$5:$A$104,0)),"")</f>
        <v/>
      </c>
      <c r="D392" s="5"/>
      <c r="E392" s="5"/>
      <c r="F392" s="7"/>
      <c r="G392" s="7"/>
      <c r="H392" s="8"/>
      <c r="I392" s="9"/>
      <c r="J392" s="10" t="str">
        <f t="shared" si="24"/>
        <v/>
      </c>
      <c r="K392" s="11" t="str">
        <f>IF(A392="","",SUMIF(Receipts!$B$5:$B$510,A392,Receipts!$D$5:$D$510))</f>
        <v/>
      </c>
      <c r="L392" s="11" t="str">
        <f t="shared" si="25"/>
        <v/>
      </c>
      <c r="M392" s="12" t="str">
        <f>IF(COUNTIF(Receipts!$B$5:$B$510,A392)=0,"",IFERROR(LOOKUP(2,1/(Receipts!$B$5:$B$510=A392),Receipts!$C$5:$C$510),""))</f>
        <v/>
      </c>
      <c r="N392" s="6" t="str">
        <f t="shared" ca="1" si="26"/>
        <v/>
      </c>
      <c r="O392" s="11" t="str">
        <f t="shared" ca="1" si="27"/>
        <v/>
      </c>
      <c r="P392" s="5"/>
    </row>
    <row r="393" spans="1:16" x14ac:dyDescent="0.25">
      <c r="A393" s="5"/>
      <c r="B393" s="5"/>
      <c r="C393" s="6" t="str">
        <f>IFERROR(INDEX(Suppliers!$B$5:$B$104,MATCH(B393,Suppliers!$A$5:$A$104,0)),"")</f>
        <v/>
      </c>
      <c r="D393" s="5"/>
      <c r="E393" s="5"/>
      <c r="F393" s="7"/>
      <c r="G393" s="7"/>
      <c r="H393" s="8"/>
      <c r="I393" s="9"/>
      <c r="J393" s="10" t="str">
        <f t="shared" si="24"/>
        <v/>
      </c>
      <c r="K393" s="11" t="str">
        <f>IF(A393="","",SUMIF(Receipts!$B$5:$B$510,A393,Receipts!$D$5:$D$510))</f>
        <v/>
      </c>
      <c r="L393" s="11" t="str">
        <f t="shared" si="25"/>
        <v/>
      </c>
      <c r="M393" s="12" t="str">
        <f>IF(COUNTIF(Receipts!$B$5:$B$510,A393)=0,"",IFERROR(LOOKUP(2,1/(Receipts!$B$5:$B$510=A393),Receipts!$C$5:$C$510),""))</f>
        <v/>
      </c>
      <c r="N393" s="6" t="str">
        <f t="shared" ca="1" si="26"/>
        <v/>
      </c>
      <c r="O393" s="11" t="str">
        <f t="shared" ca="1" si="27"/>
        <v/>
      </c>
      <c r="P393" s="5"/>
    </row>
    <row r="394" spans="1:16" x14ac:dyDescent="0.25">
      <c r="A394" s="5"/>
      <c r="B394" s="5"/>
      <c r="C394" s="6" t="str">
        <f>IFERROR(INDEX(Suppliers!$B$5:$B$104,MATCH(B394,Suppliers!$A$5:$A$104,0)),"")</f>
        <v/>
      </c>
      <c r="D394" s="5"/>
      <c r="E394" s="5"/>
      <c r="F394" s="7"/>
      <c r="G394" s="7"/>
      <c r="H394" s="8"/>
      <c r="I394" s="9"/>
      <c r="J394" s="10" t="str">
        <f t="shared" si="24"/>
        <v/>
      </c>
      <c r="K394" s="11" t="str">
        <f>IF(A394="","",SUMIF(Receipts!$B$5:$B$510,A394,Receipts!$D$5:$D$510))</f>
        <v/>
      </c>
      <c r="L394" s="11" t="str">
        <f t="shared" si="25"/>
        <v/>
      </c>
      <c r="M394" s="12" t="str">
        <f>IF(COUNTIF(Receipts!$B$5:$B$510,A394)=0,"",IFERROR(LOOKUP(2,1/(Receipts!$B$5:$B$510=A394),Receipts!$C$5:$C$510),""))</f>
        <v/>
      </c>
      <c r="N394" s="6" t="str">
        <f t="shared" ca="1" si="26"/>
        <v/>
      </c>
      <c r="O394" s="11" t="str">
        <f t="shared" ca="1" si="27"/>
        <v/>
      </c>
      <c r="P394" s="5"/>
    </row>
    <row r="395" spans="1:16" x14ac:dyDescent="0.25">
      <c r="A395" s="5"/>
      <c r="B395" s="5"/>
      <c r="C395" s="6" t="str">
        <f>IFERROR(INDEX(Suppliers!$B$5:$B$104,MATCH(B395,Suppliers!$A$5:$A$104,0)),"")</f>
        <v/>
      </c>
      <c r="D395" s="5"/>
      <c r="E395" s="5"/>
      <c r="F395" s="7"/>
      <c r="G395" s="7"/>
      <c r="H395" s="8"/>
      <c r="I395" s="9"/>
      <c r="J395" s="10" t="str">
        <f t="shared" si="24"/>
        <v/>
      </c>
      <c r="K395" s="11" t="str">
        <f>IF(A395="","",SUMIF(Receipts!$B$5:$B$510,A395,Receipts!$D$5:$D$510))</f>
        <v/>
      </c>
      <c r="L395" s="11" t="str">
        <f t="shared" si="25"/>
        <v/>
      </c>
      <c r="M395" s="12" t="str">
        <f>IF(COUNTIF(Receipts!$B$5:$B$510,A395)=0,"",IFERROR(LOOKUP(2,1/(Receipts!$B$5:$B$510=A395),Receipts!$C$5:$C$510),""))</f>
        <v/>
      </c>
      <c r="N395" s="6" t="str">
        <f t="shared" ca="1" si="26"/>
        <v/>
      </c>
      <c r="O395" s="11" t="str">
        <f t="shared" ca="1" si="27"/>
        <v/>
      </c>
      <c r="P395" s="5"/>
    </row>
    <row r="396" spans="1:16" x14ac:dyDescent="0.25">
      <c r="A396" s="5"/>
      <c r="B396" s="5"/>
      <c r="C396" s="6" t="str">
        <f>IFERROR(INDEX(Suppliers!$B$5:$B$104,MATCH(B396,Suppliers!$A$5:$A$104,0)),"")</f>
        <v/>
      </c>
      <c r="D396" s="5"/>
      <c r="E396" s="5"/>
      <c r="F396" s="7"/>
      <c r="G396" s="7"/>
      <c r="H396" s="8"/>
      <c r="I396" s="9"/>
      <c r="J396" s="10" t="str">
        <f t="shared" si="24"/>
        <v/>
      </c>
      <c r="K396" s="11" t="str">
        <f>IF(A396="","",SUMIF(Receipts!$B$5:$B$510,A396,Receipts!$D$5:$D$510))</f>
        <v/>
      </c>
      <c r="L396" s="11" t="str">
        <f t="shared" si="25"/>
        <v/>
      </c>
      <c r="M396" s="12" t="str">
        <f>IF(COUNTIF(Receipts!$B$5:$B$510,A396)=0,"",IFERROR(LOOKUP(2,1/(Receipts!$B$5:$B$510=A396),Receipts!$C$5:$C$510),""))</f>
        <v/>
      </c>
      <c r="N396" s="6" t="str">
        <f t="shared" ca="1" si="26"/>
        <v/>
      </c>
      <c r="O396" s="11" t="str">
        <f t="shared" ca="1" si="27"/>
        <v/>
      </c>
      <c r="P396" s="5"/>
    </row>
    <row r="397" spans="1:16" x14ac:dyDescent="0.25">
      <c r="A397" s="5"/>
      <c r="B397" s="5"/>
      <c r="C397" s="6" t="str">
        <f>IFERROR(INDEX(Suppliers!$B$5:$B$104,MATCH(B397,Suppliers!$A$5:$A$104,0)),"")</f>
        <v/>
      </c>
      <c r="D397" s="5"/>
      <c r="E397" s="5"/>
      <c r="F397" s="7"/>
      <c r="G397" s="7"/>
      <c r="H397" s="8"/>
      <c r="I397" s="9"/>
      <c r="J397" s="10" t="str">
        <f t="shared" si="24"/>
        <v/>
      </c>
      <c r="K397" s="11" t="str">
        <f>IF(A397="","",SUMIF(Receipts!$B$5:$B$510,A397,Receipts!$D$5:$D$510))</f>
        <v/>
      </c>
      <c r="L397" s="11" t="str">
        <f t="shared" si="25"/>
        <v/>
      </c>
      <c r="M397" s="12" t="str">
        <f>IF(COUNTIF(Receipts!$B$5:$B$510,A397)=0,"",IFERROR(LOOKUP(2,1/(Receipts!$B$5:$B$510=A397),Receipts!$C$5:$C$510),""))</f>
        <v/>
      </c>
      <c r="N397" s="6" t="str">
        <f t="shared" ca="1" si="26"/>
        <v/>
      </c>
      <c r="O397" s="11" t="str">
        <f t="shared" ca="1" si="27"/>
        <v/>
      </c>
      <c r="P397" s="5"/>
    </row>
    <row r="398" spans="1:16" x14ac:dyDescent="0.25">
      <c r="A398" s="5"/>
      <c r="B398" s="5"/>
      <c r="C398" s="6" t="str">
        <f>IFERROR(INDEX(Suppliers!$B$5:$B$104,MATCH(B398,Suppliers!$A$5:$A$104,0)),"")</f>
        <v/>
      </c>
      <c r="D398" s="5"/>
      <c r="E398" s="5"/>
      <c r="F398" s="7"/>
      <c r="G398" s="7"/>
      <c r="H398" s="8"/>
      <c r="I398" s="9"/>
      <c r="J398" s="10" t="str">
        <f t="shared" si="24"/>
        <v/>
      </c>
      <c r="K398" s="11" t="str">
        <f>IF(A398="","",SUMIF(Receipts!$B$5:$B$510,A398,Receipts!$D$5:$D$510))</f>
        <v/>
      </c>
      <c r="L398" s="11" t="str">
        <f t="shared" si="25"/>
        <v/>
      </c>
      <c r="M398" s="12" t="str">
        <f>IF(COUNTIF(Receipts!$B$5:$B$510,A398)=0,"",IFERROR(LOOKUP(2,1/(Receipts!$B$5:$B$510=A398),Receipts!$C$5:$C$510),""))</f>
        <v/>
      </c>
      <c r="N398" s="6" t="str">
        <f t="shared" ca="1" si="26"/>
        <v/>
      </c>
      <c r="O398" s="11" t="str">
        <f t="shared" ca="1" si="27"/>
        <v/>
      </c>
      <c r="P398" s="5"/>
    </row>
    <row r="399" spans="1:16" x14ac:dyDescent="0.25">
      <c r="A399" s="5"/>
      <c r="B399" s="5"/>
      <c r="C399" s="6" t="str">
        <f>IFERROR(INDEX(Suppliers!$B$5:$B$104,MATCH(B399,Suppliers!$A$5:$A$104,0)),"")</f>
        <v/>
      </c>
      <c r="D399" s="5"/>
      <c r="E399" s="5"/>
      <c r="F399" s="7"/>
      <c r="G399" s="7"/>
      <c r="H399" s="8"/>
      <c r="I399" s="9"/>
      <c r="J399" s="10" t="str">
        <f t="shared" si="24"/>
        <v/>
      </c>
      <c r="K399" s="11" t="str">
        <f>IF(A399="","",SUMIF(Receipts!$B$5:$B$510,A399,Receipts!$D$5:$D$510))</f>
        <v/>
      </c>
      <c r="L399" s="11" t="str">
        <f t="shared" si="25"/>
        <v/>
      </c>
      <c r="M399" s="12" t="str">
        <f>IF(COUNTIF(Receipts!$B$5:$B$510,A399)=0,"",IFERROR(LOOKUP(2,1/(Receipts!$B$5:$B$510=A399),Receipts!$C$5:$C$510),""))</f>
        <v/>
      </c>
      <c r="N399" s="6" t="str">
        <f t="shared" ca="1" si="26"/>
        <v/>
      </c>
      <c r="O399" s="11" t="str">
        <f t="shared" ca="1" si="27"/>
        <v/>
      </c>
      <c r="P399" s="5"/>
    </row>
    <row r="400" spans="1:16" x14ac:dyDescent="0.25">
      <c r="A400" s="5"/>
      <c r="B400" s="5"/>
      <c r="C400" s="6" t="str">
        <f>IFERROR(INDEX(Suppliers!$B$5:$B$104,MATCH(B400,Suppliers!$A$5:$A$104,0)),"")</f>
        <v/>
      </c>
      <c r="D400" s="5"/>
      <c r="E400" s="5"/>
      <c r="F400" s="7"/>
      <c r="G400" s="7"/>
      <c r="H400" s="8"/>
      <c r="I400" s="9"/>
      <c r="J400" s="10" t="str">
        <f t="shared" si="24"/>
        <v/>
      </c>
      <c r="K400" s="11" t="str">
        <f>IF(A400="","",SUMIF(Receipts!$B$5:$B$510,A400,Receipts!$D$5:$D$510))</f>
        <v/>
      </c>
      <c r="L400" s="11" t="str">
        <f t="shared" si="25"/>
        <v/>
      </c>
      <c r="M400" s="12" t="str">
        <f>IF(COUNTIF(Receipts!$B$5:$B$510,A400)=0,"",IFERROR(LOOKUP(2,1/(Receipts!$B$5:$B$510=A400),Receipts!$C$5:$C$510),""))</f>
        <v/>
      </c>
      <c r="N400" s="6" t="str">
        <f t="shared" ca="1" si="26"/>
        <v/>
      </c>
      <c r="O400" s="11" t="str">
        <f t="shared" ca="1" si="27"/>
        <v/>
      </c>
      <c r="P400" s="5"/>
    </row>
    <row r="401" spans="1:16" x14ac:dyDescent="0.25">
      <c r="A401" s="5"/>
      <c r="B401" s="5"/>
      <c r="C401" s="6" t="str">
        <f>IFERROR(INDEX(Suppliers!$B$5:$B$104,MATCH(B401,Suppliers!$A$5:$A$104,0)),"")</f>
        <v/>
      </c>
      <c r="D401" s="5"/>
      <c r="E401" s="5"/>
      <c r="F401" s="7"/>
      <c r="G401" s="7"/>
      <c r="H401" s="8"/>
      <c r="I401" s="9"/>
      <c r="J401" s="10" t="str">
        <f t="shared" si="24"/>
        <v/>
      </c>
      <c r="K401" s="11" t="str">
        <f>IF(A401="","",SUMIF(Receipts!$B$5:$B$510,A401,Receipts!$D$5:$D$510))</f>
        <v/>
      </c>
      <c r="L401" s="11" t="str">
        <f t="shared" si="25"/>
        <v/>
      </c>
      <c r="M401" s="12" t="str">
        <f>IF(COUNTIF(Receipts!$B$5:$B$510,A401)=0,"",IFERROR(LOOKUP(2,1/(Receipts!$B$5:$B$510=A401),Receipts!$C$5:$C$510),""))</f>
        <v/>
      </c>
      <c r="N401" s="6" t="str">
        <f t="shared" ca="1" si="26"/>
        <v/>
      </c>
      <c r="O401" s="11" t="str">
        <f t="shared" ca="1" si="27"/>
        <v/>
      </c>
      <c r="P401" s="5"/>
    </row>
    <row r="402" spans="1:16" x14ac:dyDescent="0.25">
      <c r="A402" s="5"/>
      <c r="B402" s="5"/>
      <c r="C402" s="6" t="str">
        <f>IFERROR(INDEX(Suppliers!$B$5:$B$104,MATCH(B402,Suppliers!$A$5:$A$104,0)),"")</f>
        <v/>
      </c>
      <c r="D402" s="5"/>
      <c r="E402" s="5"/>
      <c r="F402" s="7"/>
      <c r="G402" s="7"/>
      <c r="H402" s="8"/>
      <c r="I402" s="9"/>
      <c r="J402" s="10" t="str">
        <f t="shared" si="24"/>
        <v/>
      </c>
      <c r="K402" s="11" t="str">
        <f>IF(A402="","",SUMIF(Receipts!$B$5:$B$510,A402,Receipts!$D$5:$D$510))</f>
        <v/>
      </c>
      <c r="L402" s="11" t="str">
        <f t="shared" si="25"/>
        <v/>
      </c>
      <c r="M402" s="12" t="str">
        <f>IF(COUNTIF(Receipts!$B$5:$B$510,A402)=0,"",IFERROR(LOOKUP(2,1/(Receipts!$B$5:$B$510=A402),Receipts!$C$5:$C$510),""))</f>
        <v/>
      </c>
      <c r="N402" s="6" t="str">
        <f t="shared" ca="1" si="26"/>
        <v/>
      </c>
      <c r="O402" s="11" t="str">
        <f t="shared" ca="1" si="27"/>
        <v/>
      </c>
      <c r="P402" s="5"/>
    </row>
    <row r="403" spans="1:16" x14ac:dyDescent="0.25">
      <c r="A403" s="5"/>
      <c r="B403" s="5"/>
      <c r="C403" s="6" t="str">
        <f>IFERROR(INDEX(Suppliers!$B$5:$B$104,MATCH(B403,Suppliers!$A$5:$A$104,0)),"")</f>
        <v/>
      </c>
      <c r="D403" s="5"/>
      <c r="E403" s="5"/>
      <c r="F403" s="7"/>
      <c r="G403" s="7"/>
      <c r="H403" s="8"/>
      <c r="I403" s="9"/>
      <c r="J403" s="10" t="str">
        <f t="shared" si="24"/>
        <v/>
      </c>
      <c r="K403" s="11" t="str">
        <f>IF(A403="","",SUMIF(Receipts!$B$5:$B$510,A403,Receipts!$D$5:$D$510))</f>
        <v/>
      </c>
      <c r="L403" s="11" t="str">
        <f t="shared" si="25"/>
        <v/>
      </c>
      <c r="M403" s="12" t="str">
        <f>IF(COUNTIF(Receipts!$B$5:$B$510,A403)=0,"",IFERROR(LOOKUP(2,1/(Receipts!$B$5:$B$510=A403),Receipts!$C$5:$C$510),""))</f>
        <v/>
      </c>
      <c r="N403" s="6" t="str">
        <f t="shared" ca="1" si="26"/>
        <v/>
      </c>
      <c r="O403" s="11" t="str">
        <f t="shared" ca="1" si="27"/>
        <v/>
      </c>
      <c r="P403" s="5"/>
    </row>
    <row r="404" spans="1:16" x14ac:dyDescent="0.25">
      <c r="A404" s="5"/>
      <c r="B404" s="5"/>
      <c r="C404" s="6" t="str">
        <f>IFERROR(INDEX(Suppliers!$B$5:$B$104,MATCH(B404,Suppliers!$A$5:$A$104,0)),"")</f>
        <v/>
      </c>
      <c r="D404" s="5"/>
      <c r="E404" s="5"/>
      <c r="F404" s="7"/>
      <c r="G404" s="7"/>
      <c r="H404" s="8"/>
      <c r="I404" s="9"/>
      <c r="J404" s="10" t="str">
        <f t="shared" si="24"/>
        <v/>
      </c>
      <c r="K404" s="11" t="str">
        <f>IF(A404="","",SUMIF(Receipts!$B$5:$B$510,A404,Receipts!$D$5:$D$510))</f>
        <v/>
      </c>
      <c r="L404" s="11" t="str">
        <f t="shared" si="25"/>
        <v/>
      </c>
      <c r="M404" s="12" t="str">
        <f>IF(COUNTIF(Receipts!$B$5:$B$510,A404)=0,"",IFERROR(LOOKUP(2,1/(Receipts!$B$5:$B$510=A404),Receipts!$C$5:$C$510),""))</f>
        <v/>
      </c>
      <c r="N404" s="6" t="str">
        <f t="shared" ca="1" si="26"/>
        <v/>
      </c>
      <c r="O404" s="11" t="str">
        <f t="shared" ca="1" si="27"/>
        <v/>
      </c>
      <c r="P404" s="5"/>
    </row>
    <row r="405" spans="1:16" x14ac:dyDescent="0.25">
      <c r="A405" s="5"/>
      <c r="B405" s="5"/>
      <c r="C405" s="6" t="str">
        <f>IFERROR(INDEX(Suppliers!$B$5:$B$104,MATCH(B405,Suppliers!$A$5:$A$104,0)),"")</f>
        <v/>
      </c>
      <c r="D405" s="5"/>
      <c r="E405" s="5"/>
      <c r="F405" s="7"/>
      <c r="G405" s="7"/>
      <c r="H405" s="8"/>
      <c r="I405" s="9"/>
      <c r="J405" s="10" t="str">
        <f t="shared" si="24"/>
        <v/>
      </c>
      <c r="K405" s="11" t="str">
        <f>IF(A405="","",SUMIF(Receipts!$B$5:$B$510,A405,Receipts!$D$5:$D$510))</f>
        <v/>
      </c>
      <c r="L405" s="11" t="str">
        <f t="shared" si="25"/>
        <v/>
      </c>
      <c r="M405" s="12" t="str">
        <f>IF(COUNTIF(Receipts!$B$5:$B$510,A405)=0,"",IFERROR(LOOKUP(2,1/(Receipts!$B$5:$B$510=A405),Receipts!$C$5:$C$510),""))</f>
        <v/>
      </c>
      <c r="N405" s="6" t="str">
        <f t="shared" ca="1" si="26"/>
        <v/>
      </c>
      <c r="O405" s="11" t="str">
        <f t="shared" ca="1" si="27"/>
        <v/>
      </c>
      <c r="P405" s="5"/>
    </row>
    <row r="406" spans="1:16" x14ac:dyDescent="0.25">
      <c r="A406" s="5"/>
      <c r="B406" s="5"/>
      <c r="C406" s="6" t="str">
        <f>IFERROR(INDEX(Suppliers!$B$5:$B$104,MATCH(B406,Suppliers!$A$5:$A$104,0)),"")</f>
        <v/>
      </c>
      <c r="D406" s="5"/>
      <c r="E406" s="5"/>
      <c r="F406" s="7"/>
      <c r="G406" s="7"/>
      <c r="H406" s="8"/>
      <c r="I406" s="9"/>
      <c r="J406" s="10" t="str">
        <f t="shared" si="24"/>
        <v/>
      </c>
      <c r="K406" s="11" t="str">
        <f>IF(A406="","",SUMIF(Receipts!$B$5:$B$510,A406,Receipts!$D$5:$D$510))</f>
        <v/>
      </c>
      <c r="L406" s="11" t="str">
        <f t="shared" si="25"/>
        <v/>
      </c>
      <c r="M406" s="12" t="str">
        <f>IF(COUNTIF(Receipts!$B$5:$B$510,A406)=0,"",IFERROR(LOOKUP(2,1/(Receipts!$B$5:$B$510=A406),Receipts!$C$5:$C$510),""))</f>
        <v/>
      </c>
      <c r="N406" s="6" t="str">
        <f t="shared" ca="1" si="26"/>
        <v/>
      </c>
      <c r="O406" s="11" t="str">
        <f t="shared" ca="1" si="27"/>
        <v/>
      </c>
      <c r="P406" s="5"/>
    </row>
    <row r="407" spans="1:16" x14ac:dyDescent="0.25">
      <c r="A407" s="5"/>
      <c r="B407" s="5"/>
      <c r="C407" s="6" t="str">
        <f>IFERROR(INDEX(Suppliers!$B$5:$B$104,MATCH(B407,Suppliers!$A$5:$A$104,0)),"")</f>
        <v/>
      </c>
      <c r="D407" s="5"/>
      <c r="E407" s="5"/>
      <c r="F407" s="7"/>
      <c r="G407" s="7"/>
      <c r="H407" s="8"/>
      <c r="I407" s="9"/>
      <c r="J407" s="10" t="str">
        <f t="shared" si="24"/>
        <v/>
      </c>
      <c r="K407" s="11" t="str">
        <f>IF(A407="","",SUMIF(Receipts!$B$5:$B$510,A407,Receipts!$D$5:$D$510))</f>
        <v/>
      </c>
      <c r="L407" s="11" t="str">
        <f t="shared" si="25"/>
        <v/>
      </c>
      <c r="M407" s="12" t="str">
        <f>IF(COUNTIF(Receipts!$B$5:$B$510,A407)=0,"",IFERROR(LOOKUP(2,1/(Receipts!$B$5:$B$510=A407),Receipts!$C$5:$C$510),""))</f>
        <v/>
      </c>
      <c r="N407" s="6" t="str">
        <f t="shared" ca="1" si="26"/>
        <v/>
      </c>
      <c r="O407" s="11" t="str">
        <f t="shared" ca="1" si="27"/>
        <v/>
      </c>
      <c r="P407" s="5"/>
    </row>
    <row r="408" spans="1:16" x14ac:dyDescent="0.25">
      <c r="A408" s="5"/>
      <c r="B408" s="5"/>
      <c r="C408" s="6" t="str">
        <f>IFERROR(INDEX(Suppliers!$B$5:$B$104,MATCH(B408,Suppliers!$A$5:$A$104,0)),"")</f>
        <v/>
      </c>
      <c r="D408" s="5"/>
      <c r="E408" s="5"/>
      <c r="F408" s="7"/>
      <c r="G408" s="7"/>
      <c r="H408" s="8"/>
      <c r="I408" s="9"/>
      <c r="J408" s="10" t="str">
        <f t="shared" si="24"/>
        <v/>
      </c>
      <c r="K408" s="11" t="str">
        <f>IF(A408="","",SUMIF(Receipts!$B$5:$B$510,A408,Receipts!$D$5:$D$510))</f>
        <v/>
      </c>
      <c r="L408" s="11" t="str">
        <f t="shared" si="25"/>
        <v/>
      </c>
      <c r="M408" s="12" t="str">
        <f>IF(COUNTIF(Receipts!$B$5:$B$510,A408)=0,"",IFERROR(LOOKUP(2,1/(Receipts!$B$5:$B$510=A408),Receipts!$C$5:$C$510),""))</f>
        <v/>
      </c>
      <c r="N408" s="6" t="str">
        <f t="shared" ca="1" si="26"/>
        <v/>
      </c>
      <c r="O408" s="11" t="str">
        <f t="shared" ca="1" si="27"/>
        <v/>
      </c>
      <c r="P408" s="5"/>
    </row>
    <row r="409" spans="1:16" x14ac:dyDescent="0.25">
      <c r="A409" s="5"/>
      <c r="B409" s="5"/>
      <c r="C409" s="6" t="str">
        <f>IFERROR(INDEX(Suppliers!$B$5:$B$104,MATCH(B409,Suppliers!$A$5:$A$104,0)),"")</f>
        <v/>
      </c>
      <c r="D409" s="5"/>
      <c r="E409" s="5"/>
      <c r="F409" s="7"/>
      <c r="G409" s="7"/>
      <c r="H409" s="8"/>
      <c r="I409" s="9"/>
      <c r="J409" s="10" t="str">
        <f t="shared" si="24"/>
        <v/>
      </c>
      <c r="K409" s="11" t="str">
        <f>IF(A409="","",SUMIF(Receipts!$B$5:$B$510,A409,Receipts!$D$5:$D$510))</f>
        <v/>
      </c>
      <c r="L409" s="11" t="str">
        <f t="shared" si="25"/>
        <v/>
      </c>
      <c r="M409" s="12" t="str">
        <f>IF(COUNTIF(Receipts!$B$5:$B$510,A409)=0,"",IFERROR(LOOKUP(2,1/(Receipts!$B$5:$B$510=A409),Receipts!$C$5:$C$510),""))</f>
        <v/>
      </c>
      <c r="N409" s="6" t="str">
        <f t="shared" ca="1" si="26"/>
        <v/>
      </c>
      <c r="O409" s="11" t="str">
        <f t="shared" ca="1" si="27"/>
        <v/>
      </c>
      <c r="P409" s="5"/>
    </row>
    <row r="410" spans="1:16" x14ac:dyDescent="0.25">
      <c r="A410" s="5"/>
      <c r="B410" s="5"/>
      <c r="C410" s="6" t="str">
        <f>IFERROR(INDEX(Suppliers!$B$5:$B$104,MATCH(B410,Suppliers!$A$5:$A$104,0)),"")</f>
        <v/>
      </c>
      <c r="D410" s="5"/>
      <c r="E410" s="5"/>
      <c r="F410" s="7"/>
      <c r="G410" s="7"/>
      <c r="H410" s="8"/>
      <c r="I410" s="9"/>
      <c r="J410" s="10" t="str">
        <f t="shared" si="24"/>
        <v/>
      </c>
      <c r="K410" s="11" t="str">
        <f>IF(A410="","",SUMIF(Receipts!$B$5:$B$510,A410,Receipts!$D$5:$D$510))</f>
        <v/>
      </c>
      <c r="L410" s="11" t="str">
        <f t="shared" si="25"/>
        <v/>
      </c>
      <c r="M410" s="12" t="str">
        <f>IF(COUNTIF(Receipts!$B$5:$B$510,A410)=0,"",IFERROR(LOOKUP(2,1/(Receipts!$B$5:$B$510=A410),Receipts!$C$5:$C$510),""))</f>
        <v/>
      </c>
      <c r="N410" s="6" t="str">
        <f t="shared" ca="1" si="26"/>
        <v/>
      </c>
      <c r="O410" s="11" t="str">
        <f t="shared" ca="1" si="27"/>
        <v/>
      </c>
      <c r="P410" s="5"/>
    </row>
    <row r="411" spans="1:16" x14ac:dyDescent="0.25">
      <c r="A411" s="5"/>
      <c r="B411" s="5"/>
      <c r="C411" s="6" t="str">
        <f>IFERROR(INDEX(Suppliers!$B$5:$B$104,MATCH(B411,Suppliers!$A$5:$A$104,0)),"")</f>
        <v/>
      </c>
      <c r="D411" s="5"/>
      <c r="E411" s="5"/>
      <c r="F411" s="7"/>
      <c r="G411" s="7"/>
      <c r="H411" s="8"/>
      <c r="I411" s="9"/>
      <c r="J411" s="10" t="str">
        <f t="shared" si="24"/>
        <v/>
      </c>
      <c r="K411" s="11" t="str">
        <f>IF(A411="","",SUMIF(Receipts!$B$5:$B$510,A411,Receipts!$D$5:$D$510))</f>
        <v/>
      </c>
      <c r="L411" s="11" t="str">
        <f t="shared" si="25"/>
        <v/>
      </c>
      <c r="M411" s="12" t="str">
        <f>IF(COUNTIF(Receipts!$B$5:$B$510,A411)=0,"",IFERROR(LOOKUP(2,1/(Receipts!$B$5:$B$510=A411),Receipts!$C$5:$C$510),""))</f>
        <v/>
      </c>
      <c r="N411" s="6" t="str">
        <f t="shared" ca="1" si="26"/>
        <v/>
      </c>
      <c r="O411" s="11" t="str">
        <f t="shared" ca="1" si="27"/>
        <v/>
      </c>
      <c r="P411" s="5"/>
    </row>
    <row r="412" spans="1:16" x14ac:dyDescent="0.25">
      <c r="A412" s="5"/>
      <c r="B412" s="5"/>
      <c r="C412" s="6" t="str">
        <f>IFERROR(INDEX(Suppliers!$B$5:$B$104,MATCH(B412,Suppliers!$A$5:$A$104,0)),"")</f>
        <v/>
      </c>
      <c r="D412" s="5"/>
      <c r="E412" s="5"/>
      <c r="F412" s="7"/>
      <c r="G412" s="7"/>
      <c r="H412" s="8"/>
      <c r="I412" s="9"/>
      <c r="J412" s="10" t="str">
        <f t="shared" si="24"/>
        <v/>
      </c>
      <c r="K412" s="11" t="str">
        <f>IF(A412="","",SUMIF(Receipts!$B$5:$B$510,A412,Receipts!$D$5:$D$510))</f>
        <v/>
      </c>
      <c r="L412" s="11" t="str">
        <f t="shared" si="25"/>
        <v/>
      </c>
      <c r="M412" s="12" t="str">
        <f>IF(COUNTIF(Receipts!$B$5:$B$510,A412)=0,"",IFERROR(LOOKUP(2,1/(Receipts!$B$5:$B$510=A412),Receipts!$C$5:$C$510),""))</f>
        <v/>
      </c>
      <c r="N412" s="6" t="str">
        <f t="shared" ca="1" si="26"/>
        <v/>
      </c>
      <c r="O412" s="11" t="str">
        <f t="shared" ca="1" si="27"/>
        <v/>
      </c>
      <c r="P412" s="5"/>
    </row>
    <row r="413" spans="1:16" x14ac:dyDescent="0.25">
      <c r="A413" s="5"/>
      <c r="B413" s="5"/>
      <c r="C413" s="6" t="str">
        <f>IFERROR(INDEX(Suppliers!$B$5:$B$104,MATCH(B413,Suppliers!$A$5:$A$104,0)),"")</f>
        <v/>
      </c>
      <c r="D413" s="5"/>
      <c r="E413" s="5"/>
      <c r="F413" s="7"/>
      <c r="G413" s="7"/>
      <c r="H413" s="8"/>
      <c r="I413" s="9"/>
      <c r="J413" s="10" t="str">
        <f t="shared" si="24"/>
        <v/>
      </c>
      <c r="K413" s="11" t="str">
        <f>IF(A413="","",SUMIF(Receipts!$B$5:$B$510,A413,Receipts!$D$5:$D$510))</f>
        <v/>
      </c>
      <c r="L413" s="11" t="str">
        <f t="shared" si="25"/>
        <v/>
      </c>
      <c r="M413" s="12" t="str">
        <f>IF(COUNTIF(Receipts!$B$5:$B$510,A413)=0,"",IFERROR(LOOKUP(2,1/(Receipts!$B$5:$B$510=A413),Receipts!$C$5:$C$510),""))</f>
        <v/>
      </c>
      <c r="N413" s="6" t="str">
        <f t="shared" ca="1" si="26"/>
        <v/>
      </c>
      <c r="O413" s="11" t="str">
        <f t="shared" ca="1" si="27"/>
        <v/>
      </c>
      <c r="P413" s="5"/>
    </row>
    <row r="414" spans="1:16" x14ac:dyDescent="0.25">
      <c r="A414" s="5"/>
      <c r="B414" s="5"/>
      <c r="C414" s="6" t="str">
        <f>IFERROR(INDEX(Suppliers!$B$5:$B$104,MATCH(B414,Suppliers!$A$5:$A$104,0)),"")</f>
        <v/>
      </c>
      <c r="D414" s="5"/>
      <c r="E414" s="5"/>
      <c r="F414" s="7"/>
      <c r="G414" s="7"/>
      <c r="H414" s="8"/>
      <c r="I414" s="9"/>
      <c r="J414" s="10" t="str">
        <f t="shared" si="24"/>
        <v/>
      </c>
      <c r="K414" s="11" t="str">
        <f>IF(A414="","",SUMIF(Receipts!$B$5:$B$510,A414,Receipts!$D$5:$D$510))</f>
        <v/>
      </c>
      <c r="L414" s="11" t="str">
        <f t="shared" si="25"/>
        <v/>
      </c>
      <c r="M414" s="12" t="str">
        <f>IF(COUNTIF(Receipts!$B$5:$B$510,A414)=0,"",IFERROR(LOOKUP(2,1/(Receipts!$B$5:$B$510=A414),Receipts!$C$5:$C$510),""))</f>
        <v/>
      </c>
      <c r="N414" s="6" t="str">
        <f t="shared" ca="1" si="26"/>
        <v/>
      </c>
      <c r="O414" s="11" t="str">
        <f t="shared" ca="1" si="27"/>
        <v/>
      </c>
      <c r="P414" s="5"/>
    </row>
    <row r="415" spans="1:16" x14ac:dyDescent="0.25">
      <c r="A415" s="5"/>
      <c r="B415" s="5"/>
      <c r="C415" s="6" t="str">
        <f>IFERROR(INDEX(Suppliers!$B$5:$B$104,MATCH(B415,Suppliers!$A$5:$A$104,0)),"")</f>
        <v/>
      </c>
      <c r="D415" s="5"/>
      <c r="E415" s="5"/>
      <c r="F415" s="7"/>
      <c r="G415" s="7"/>
      <c r="H415" s="8"/>
      <c r="I415" s="9"/>
      <c r="J415" s="10" t="str">
        <f t="shared" si="24"/>
        <v/>
      </c>
      <c r="K415" s="11" t="str">
        <f>IF(A415="","",SUMIF(Receipts!$B$5:$B$510,A415,Receipts!$D$5:$D$510))</f>
        <v/>
      </c>
      <c r="L415" s="11" t="str">
        <f t="shared" si="25"/>
        <v/>
      </c>
      <c r="M415" s="12" t="str">
        <f>IF(COUNTIF(Receipts!$B$5:$B$510,A415)=0,"",IFERROR(LOOKUP(2,1/(Receipts!$B$5:$B$510=A415),Receipts!$C$5:$C$510),""))</f>
        <v/>
      </c>
      <c r="N415" s="6" t="str">
        <f t="shared" ca="1" si="26"/>
        <v/>
      </c>
      <c r="O415" s="11" t="str">
        <f t="shared" ca="1" si="27"/>
        <v/>
      </c>
      <c r="P415" s="5"/>
    </row>
    <row r="416" spans="1:16" x14ac:dyDescent="0.25">
      <c r="A416" s="5"/>
      <c r="B416" s="5"/>
      <c r="C416" s="6" t="str">
        <f>IFERROR(INDEX(Suppliers!$B$5:$B$104,MATCH(B416,Suppliers!$A$5:$A$104,0)),"")</f>
        <v/>
      </c>
      <c r="D416" s="5"/>
      <c r="E416" s="5"/>
      <c r="F416" s="7"/>
      <c r="G416" s="7"/>
      <c r="H416" s="8"/>
      <c r="I416" s="9"/>
      <c r="J416" s="10" t="str">
        <f t="shared" si="24"/>
        <v/>
      </c>
      <c r="K416" s="11" t="str">
        <f>IF(A416="","",SUMIF(Receipts!$B$5:$B$510,A416,Receipts!$D$5:$D$510))</f>
        <v/>
      </c>
      <c r="L416" s="11" t="str">
        <f t="shared" si="25"/>
        <v/>
      </c>
      <c r="M416" s="12" t="str">
        <f>IF(COUNTIF(Receipts!$B$5:$B$510,A416)=0,"",IFERROR(LOOKUP(2,1/(Receipts!$B$5:$B$510=A416),Receipts!$C$5:$C$510),""))</f>
        <v/>
      </c>
      <c r="N416" s="6" t="str">
        <f t="shared" ca="1" si="26"/>
        <v/>
      </c>
      <c r="O416" s="11" t="str">
        <f t="shared" ca="1" si="27"/>
        <v/>
      </c>
      <c r="P416" s="5"/>
    </row>
    <row r="417" spans="1:16" x14ac:dyDescent="0.25">
      <c r="A417" s="5"/>
      <c r="B417" s="5"/>
      <c r="C417" s="6" t="str">
        <f>IFERROR(INDEX(Suppliers!$B$5:$B$104,MATCH(B417,Suppliers!$A$5:$A$104,0)),"")</f>
        <v/>
      </c>
      <c r="D417" s="5"/>
      <c r="E417" s="5"/>
      <c r="F417" s="7"/>
      <c r="G417" s="7"/>
      <c r="H417" s="8"/>
      <c r="I417" s="9"/>
      <c r="J417" s="10" t="str">
        <f t="shared" si="24"/>
        <v/>
      </c>
      <c r="K417" s="11" t="str">
        <f>IF(A417="","",SUMIF(Receipts!$B$5:$B$510,A417,Receipts!$D$5:$D$510))</f>
        <v/>
      </c>
      <c r="L417" s="11" t="str">
        <f t="shared" si="25"/>
        <v/>
      </c>
      <c r="M417" s="12" t="str">
        <f>IF(COUNTIF(Receipts!$B$5:$B$510,A417)=0,"",IFERROR(LOOKUP(2,1/(Receipts!$B$5:$B$510=A417),Receipts!$C$5:$C$510),""))</f>
        <v/>
      </c>
      <c r="N417" s="6" t="str">
        <f t="shared" ca="1" si="26"/>
        <v/>
      </c>
      <c r="O417" s="11" t="str">
        <f t="shared" ca="1" si="27"/>
        <v/>
      </c>
      <c r="P417" s="5"/>
    </row>
    <row r="418" spans="1:16" x14ac:dyDescent="0.25">
      <c r="A418" s="5"/>
      <c r="B418" s="5"/>
      <c r="C418" s="6" t="str">
        <f>IFERROR(INDEX(Suppliers!$B$5:$B$104,MATCH(B418,Suppliers!$A$5:$A$104,0)),"")</f>
        <v/>
      </c>
      <c r="D418" s="5"/>
      <c r="E418" s="5"/>
      <c r="F418" s="7"/>
      <c r="G418" s="7"/>
      <c r="H418" s="8"/>
      <c r="I418" s="9"/>
      <c r="J418" s="10" t="str">
        <f t="shared" si="24"/>
        <v/>
      </c>
      <c r="K418" s="11" t="str">
        <f>IF(A418="","",SUMIF(Receipts!$B$5:$B$510,A418,Receipts!$D$5:$D$510))</f>
        <v/>
      </c>
      <c r="L418" s="11" t="str">
        <f t="shared" si="25"/>
        <v/>
      </c>
      <c r="M418" s="12" t="str">
        <f>IF(COUNTIF(Receipts!$B$5:$B$510,A418)=0,"",IFERROR(LOOKUP(2,1/(Receipts!$B$5:$B$510=A418),Receipts!$C$5:$C$510),""))</f>
        <v/>
      </c>
      <c r="N418" s="6" t="str">
        <f t="shared" ca="1" si="26"/>
        <v/>
      </c>
      <c r="O418" s="11" t="str">
        <f t="shared" ca="1" si="27"/>
        <v/>
      </c>
      <c r="P418" s="5"/>
    </row>
    <row r="419" spans="1:16" x14ac:dyDescent="0.25">
      <c r="A419" s="5"/>
      <c r="B419" s="5"/>
      <c r="C419" s="6" t="str">
        <f>IFERROR(INDEX(Suppliers!$B$5:$B$104,MATCH(B419,Suppliers!$A$5:$A$104,0)),"")</f>
        <v/>
      </c>
      <c r="D419" s="5"/>
      <c r="E419" s="5"/>
      <c r="F419" s="7"/>
      <c r="G419" s="7"/>
      <c r="H419" s="8"/>
      <c r="I419" s="9"/>
      <c r="J419" s="10" t="str">
        <f t="shared" si="24"/>
        <v/>
      </c>
      <c r="K419" s="11" t="str">
        <f>IF(A419="","",SUMIF(Receipts!$B$5:$B$510,A419,Receipts!$D$5:$D$510))</f>
        <v/>
      </c>
      <c r="L419" s="11" t="str">
        <f t="shared" si="25"/>
        <v/>
      </c>
      <c r="M419" s="12" t="str">
        <f>IF(COUNTIF(Receipts!$B$5:$B$510,A419)=0,"",IFERROR(LOOKUP(2,1/(Receipts!$B$5:$B$510=A419),Receipts!$C$5:$C$510),""))</f>
        <v/>
      </c>
      <c r="N419" s="6" t="str">
        <f t="shared" ca="1" si="26"/>
        <v/>
      </c>
      <c r="O419" s="11" t="str">
        <f t="shared" ca="1" si="27"/>
        <v/>
      </c>
      <c r="P419" s="5"/>
    </row>
    <row r="420" spans="1:16" x14ac:dyDescent="0.25">
      <c r="A420" s="5"/>
      <c r="B420" s="5"/>
      <c r="C420" s="6" t="str">
        <f>IFERROR(INDEX(Suppliers!$B$5:$B$104,MATCH(B420,Suppliers!$A$5:$A$104,0)),"")</f>
        <v/>
      </c>
      <c r="D420" s="5"/>
      <c r="E420" s="5"/>
      <c r="F420" s="7"/>
      <c r="G420" s="7"/>
      <c r="H420" s="8"/>
      <c r="I420" s="9"/>
      <c r="J420" s="10" t="str">
        <f t="shared" si="24"/>
        <v/>
      </c>
      <c r="K420" s="11" t="str">
        <f>IF(A420="","",SUMIF(Receipts!$B$5:$B$510,A420,Receipts!$D$5:$D$510))</f>
        <v/>
      </c>
      <c r="L420" s="11" t="str">
        <f t="shared" si="25"/>
        <v/>
      </c>
      <c r="M420" s="12" t="str">
        <f>IF(COUNTIF(Receipts!$B$5:$B$510,A420)=0,"",IFERROR(LOOKUP(2,1/(Receipts!$B$5:$B$510=A420),Receipts!$C$5:$C$510),""))</f>
        <v/>
      </c>
      <c r="N420" s="6" t="str">
        <f t="shared" ca="1" si="26"/>
        <v/>
      </c>
      <c r="O420" s="11" t="str">
        <f t="shared" ca="1" si="27"/>
        <v/>
      </c>
      <c r="P420" s="5"/>
    </row>
    <row r="421" spans="1:16" x14ac:dyDescent="0.25">
      <c r="A421" s="5"/>
      <c r="B421" s="5"/>
      <c r="C421" s="6" t="str">
        <f>IFERROR(INDEX(Suppliers!$B$5:$B$104,MATCH(B421,Suppliers!$A$5:$A$104,0)),"")</f>
        <v/>
      </c>
      <c r="D421" s="5"/>
      <c r="E421" s="5"/>
      <c r="F421" s="7"/>
      <c r="G421" s="7"/>
      <c r="H421" s="8"/>
      <c r="I421" s="9"/>
      <c r="J421" s="10" t="str">
        <f t="shared" si="24"/>
        <v/>
      </c>
      <c r="K421" s="11" t="str">
        <f>IF(A421="","",SUMIF(Receipts!$B$5:$B$510,A421,Receipts!$D$5:$D$510))</f>
        <v/>
      </c>
      <c r="L421" s="11" t="str">
        <f t="shared" si="25"/>
        <v/>
      </c>
      <c r="M421" s="12" t="str">
        <f>IF(COUNTIF(Receipts!$B$5:$B$510,A421)=0,"",IFERROR(LOOKUP(2,1/(Receipts!$B$5:$B$510=A421),Receipts!$C$5:$C$510),""))</f>
        <v/>
      </c>
      <c r="N421" s="6" t="str">
        <f t="shared" ca="1" si="26"/>
        <v/>
      </c>
      <c r="O421" s="11" t="str">
        <f t="shared" ca="1" si="27"/>
        <v/>
      </c>
      <c r="P421" s="5"/>
    </row>
    <row r="422" spans="1:16" x14ac:dyDescent="0.25">
      <c r="A422" s="5"/>
      <c r="B422" s="5"/>
      <c r="C422" s="6" t="str">
        <f>IFERROR(INDEX(Suppliers!$B$5:$B$104,MATCH(B422,Suppliers!$A$5:$A$104,0)),"")</f>
        <v/>
      </c>
      <c r="D422" s="5"/>
      <c r="E422" s="5"/>
      <c r="F422" s="7"/>
      <c r="G422" s="7"/>
      <c r="H422" s="8"/>
      <c r="I422" s="9"/>
      <c r="J422" s="10" t="str">
        <f t="shared" si="24"/>
        <v/>
      </c>
      <c r="K422" s="11" t="str">
        <f>IF(A422="","",SUMIF(Receipts!$B$5:$B$510,A422,Receipts!$D$5:$D$510))</f>
        <v/>
      </c>
      <c r="L422" s="11" t="str">
        <f t="shared" si="25"/>
        <v/>
      </c>
      <c r="M422" s="12" t="str">
        <f>IF(COUNTIF(Receipts!$B$5:$B$510,A422)=0,"",IFERROR(LOOKUP(2,1/(Receipts!$B$5:$B$510=A422),Receipts!$C$5:$C$510),""))</f>
        <v/>
      </c>
      <c r="N422" s="6" t="str">
        <f t="shared" ca="1" si="26"/>
        <v/>
      </c>
      <c r="O422" s="11" t="str">
        <f t="shared" ca="1" si="27"/>
        <v/>
      </c>
      <c r="P422" s="5"/>
    </row>
    <row r="423" spans="1:16" x14ac:dyDescent="0.25">
      <c r="A423" s="5"/>
      <c r="B423" s="5"/>
      <c r="C423" s="6" t="str">
        <f>IFERROR(INDEX(Suppliers!$B$5:$B$104,MATCH(B423,Suppliers!$A$5:$A$104,0)),"")</f>
        <v/>
      </c>
      <c r="D423" s="5"/>
      <c r="E423" s="5"/>
      <c r="F423" s="7"/>
      <c r="G423" s="7"/>
      <c r="H423" s="8"/>
      <c r="I423" s="9"/>
      <c r="J423" s="10" t="str">
        <f t="shared" si="24"/>
        <v/>
      </c>
      <c r="K423" s="11" t="str">
        <f>IF(A423="","",SUMIF(Receipts!$B$5:$B$510,A423,Receipts!$D$5:$D$510))</f>
        <v/>
      </c>
      <c r="L423" s="11" t="str">
        <f t="shared" si="25"/>
        <v/>
      </c>
      <c r="M423" s="12" t="str">
        <f>IF(COUNTIF(Receipts!$B$5:$B$510,A423)=0,"",IFERROR(LOOKUP(2,1/(Receipts!$B$5:$B$510=A423),Receipts!$C$5:$C$510),""))</f>
        <v/>
      </c>
      <c r="N423" s="6" t="str">
        <f t="shared" ca="1" si="26"/>
        <v/>
      </c>
      <c r="O423" s="11" t="str">
        <f t="shared" ca="1" si="27"/>
        <v/>
      </c>
      <c r="P423" s="5"/>
    </row>
    <row r="424" spans="1:16" x14ac:dyDescent="0.25">
      <c r="A424" s="5"/>
      <c r="B424" s="5"/>
      <c r="C424" s="6" t="str">
        <f>IFERROR(INDEX(Suppliers!$B$5:$B$104,MATCH(B424,Suppliers!$A$5:$A$104,0)),"")</f>
        <v/>
      </c>
      <c r="D424" s="5"/>
      <c r="E424" s="5"/>
      <c r="F424" s="7"/>
      <c r="G424" s="7"/>
      <c r="H424" s="8"/>
      <c r="I424" s="9"/>
      <c r="J424" s="10" t="str">
        <f t="shared" si="24"/>
        <v/>
      </c>
      <c r="K424" s="11" t="str">
        <f>IF(A424="","",SUMIF(Receipts!$B$5:$B$510,A424,Receipts!$D$5:$D$510))</f>
        <v/>
      </c>
      <c r="L424" s="11" t="str">
        <f t="shared" si="25"/>
        <v/>
      </c>
      <c r="M424" s="12" t="str">
        <f>IF(COUNTIF(Receipts!$B$5:$B$510,A424)=0,"",IFERROR(LOOKUP(2,1/(Receipts!$B$5:$B$510=A424),Receipts!$C$5:$C$510),""))</f>
        <v/>
      </c>
      <c r="N424" s="6" t="str">
        <f t="shared" ca="1" si="26"/>
        <v/>
      </c>
      <c r="O424" s="11" t="str">
        <f t="shared" ca="1" si="27"/>
        <v/>
      </c>
      <c r="P424" s="5"/>
    </row>
    <row r="425" spans="1:16" x14ac:dyDescent="0.25">
      <c r="A425" s="5"/>
      <c r="B425" s="5"/>
      <c r="C425" s="6" t="str">
        <f>IFERROR(INDEX(Suppliers!$B$5:$B$104,MATCH(B425,Suppliers!$A$5:$A$104,0)),"")</f>
        <v/>
      </c>
      <c r="D425" s="5"/>
      <c r="E425" s="5"/>
      <c r="F425" s="7"/>
      <c r="G425" s="7"/>
      <c r="H425" s="8"/>
      <c r="I425" s="9"/>
      <c r="J425" s="10" t="str">
        <f t="shared" si="24"/>
        <v/>
      </c>
      <c r="K425" s="11" t="str">
        <f>IF(A425="","",SUMIF(Receipts!$B$5:$B$510,A425,Receipts!$D$5:$D$510))</f>
        <v/>
      </c>
      <c r="L425" s="11" t="str">
        <f t="shared" si="25"/>
        <v/>
      </c>
      <c r="M425" s="12" t="str">
        <f>IF(COUNTIF(Receipts!$B$5:$B$510,A425)=0,"",IFERROR(LOOKUP(2,1/(Receipts!$B$5:$B$510=A425),Receipts!$C$5:$C$510),""))</f>
        <v/>
      </c>
      <c r="N425" s="6" t="str">
        <f t="shared" ca="1" si="26"/>
        <v/>
      </c>
      <c r="O425" s="11" t="str">
        <f t="shared" ca="1" si="27"/>
        <v/>
      </c>
      <c r="P425" s="5"/>
    </row>
    <row r="426" spans="1:16" x14ac:dyDescent="0.25">
      <c r="A426" s="5"/>
      <c r="B426" s="5"/>
      <c r="C426" s="6" t="str">
        <f>IFERROR(INDEX(Suppliers!$B$5:$B$104,MATCH(B426,Suppliers!$A$5:$A$104,0)),"")</f>
        <v/>
      </c>
      <c r="D426" s="5"/>
      <c r="E426" s="5"/>
      <c r="F426" s="7"/>
      <c r="G426" s="7"/>
      <c r="H426" s="8"/>
      <c r="I426" s="9"/>
      <c r="J426" s="10" t="str">
        <f t="shared" si="24"/>
        <v/>
      </c>
      <c r="K426" s="11" t="str">
        <f>IF(A426="","",SUMIF(Receipts!$B$5:$B$510,A426,Receipts!$D$5:$D$510))</f>
        <v/>
      </c>
      <c r="L426" s="11" t="str">
        <f t="shared" si="25"/>
        <v/>
      </c>
      <c r="M426" s="12" t="str">
        <f>IF(COUNTIF(Receipts!$B$5:$B$510,A426)=0,"",IFERROR(LOOKUP(2,1/(Receipts!$B$5:$B$510=A426),Receipts!$C$5:$C$510),""))</f>
        <v/>
      </c>
      <c r="N426" s="6" t="str">
        <f t="shared" ca="1" si="26"/>
        <v/>
      </c>
      <c r="O426" s="11" t="str">
        <f t="shared" ca="1" si="27"/>
        <v/>
      </c>
      <c r="P426" s="5"/>
    </row>
    <row r="427" spans="1:16" x14ac:dyDescent="0.25">
      <c r="A427" s="5"/>
      <c r="B427" s="5"/>
      <c r="C427" s="6" t="str">
        <f>IFERROR(INDEX(Suppliers!$B$5:$B$104,MATCH(B427,Suppliers!$A$5:$A$104,0)),"")</f>
        <v/>
      </c>
      <c r="D427" s="5"/>
      <c r="E427" s="5"/>
      <c r="F427" s="7"/>
      <c r="G427" s="7"/>
      <c r="H427" s="8"/>
      <c r="I427" s="9"/>
      <c r="J427" s="10" t="str">
        <f t="shared" si="24"/>
        <v/>
      </c>
      <c r="K427" s="11" t="str">
        <f>IF(A427="","",SUMIF(Receipts!$B$5:$B$510,A427,Receipts!$D$5:$D$510))</f>
        <v/>
      </c>
      <c r="L427" s="11" t="str">
        <f t="shared" si="25"/>
        <v/>
      </c>
      <c r="M427" s="12" t="str">
        <f>IF(COUNTIF(Receipts!$B$5:$B$510,A427)=0,"",IFERROR(LOOKUP(2,1/(Receipts!$B$5:$B$510=A427),Receipts!$C$5:$C$510),""))</f>
        <v/>
      </c>
      <c r="N427" s="6" t="str">
        <f t="shared" ca="1" si="26"/>
        <v/>
      </c>
      <c r="O427" s="11" t="str">
        <f t="shared" ca="1" si="27"/>
        <v/>
      </c>
      <c r="P427" s="5"/>
    </row>
    <row r="428" spans="1:16" x14ac:dyDescent="0.25">
      <c r="A428" s="5"/>
      <c r="B428" s="5"/>
      <c r="C428" s="6" t="str">
        <f>IFERROR(INDEX(Suppliers!$B$5:$B$104,MATCH(B428,Suppliers!$A$5:$A$104,0)),"")</f>
        <v/>
      </c>
      <c r="D428" s="5"/>
      <c r="E428" s="5"/>
      <c r="F428" s="7"/>
      <c r="G428" s="7"/>
      <c r="H428" s="8"/>
      <c r="I428" s="9"/>
      <c r="J428" s="10" t="str">
        <f t="shared" si="24"/>
        <v/>
      </c>
      <c r="K428" s="11" t="str">
        <f>IF(A428="","",SUMIF(Receipts!$B$5:$B$510,A428,Receipts!$D$5:$D$510))</f>
        <v/>
      </c>
      <c r="L428" s="11" t="str">
        <f t="shared" si="25"/>
        <v/>
      </c>
      <c r="M428" s="12" t="str">
        <f>IF(COUNTIF(Receipts!$B$5:$B$510,A428)=0,"",IFERROR(LOOKUP(2,1/(Receipts!$B$5:$B$510=A428),Receipts!$C$5:$C$510),""))</f>
        <v/>
      </c>
      <c r="N428" s="6" t="str">
        <f t="shared" ca="1" si="26"/>
        <v/>
      </c>
      <c r="O428" s="11" t="str">
        <f t="shared" ca="1" si="27"/>
        <v/>
      </c>
      <c r="P428" s="5"/>
    </row>
    <row r="429" spans="1:16" x14ac:dyDescent="0.25">
      <c r="A429" s="5"/>
      <c r="B429" s="5"/>
      <c r="C429" s="6" t="str">
        <f>IFERROR(INDEX(Suppliers!$B$5:$B$104,MATCH(B429,Suppliers!$A$5:$A$104,0)),"")</f>
        <v/>
      </c>
      <c r="D429" s="5"/>
      <c r="E429" s="5"/>
      <c r="F429" s="7"/>
      <c r="G429" s="7"/>
      <c r="H429" s="8"/>
      <c r="I429" s="9"/>
      <c r="J429" s="10" t="str">
        <f t="shared" si="24"/>
        <v/>
      </c>
      <c r="K429" s="11" t="str">
        <f>IF(A429="","",SUMIF(Receipts!$B$5:$B$510,A429,Receipts!$D$5:$D$510))</f>
        <v/>
      </c>
      <c r="L429" s="11" t="str">
        <f t="shared" si="25"/>
        <v/>
      </c>
      <c r="M429" s="12" t="str">
        <f>IF(COUNTIF(Receipts!$B$5:$B$510,A429)=0,"",IFERROR(LOOKUP(2,1/(Receipts!$B$5:$B$510=A429),Receipts!$C$5:$C$510),""))</f>
        <v/>
      </c>
      <c r="N429" s="6" t="str">
        <f t="shared" ca="1" si="26"/>
        <v/>
      </c>
      <c r="O429" s="11" t="str">
        <f t="shared" ca="1" si="27"/>
        <v/>
      </c>
      <c r="P429" s="5"/>
    </row>
    <row r="430" spans="1:16" x14ac:dyDescent="0.25">
      <c r="A430" s="5"/>
      <c r="B430" s="5"/>
      <c r="C430" s="6" t="str">
        <f>IFERROR(INDEX(Suppliers!$B$5:$B$104,MATCH(B430,Suppliers!$A$5:$A$104,0)),"")</f>
        <v/>
      </c>
      <c r="D430" s="5"/>
      <c r="E430" s="5"/>
      <c r="F430" s="7"/>
      <c r="G430" s="7"/>
      <c r="H430" s="8"/>
      <c r="I430" s="9"/>
      <c r="J430" s="10" t="str">
        <f t="shared" si="24"/>
        <v/>
      </c>
      <c r="K430" s="11" t="str">
        <f>IF(A430="","",SUMIF(Receipts!$B$5:$B$510,A430,Receipts!$D$5:$D$510))</f>
        <v/>
      </c>
      <c r="L430" s="11" t="str">
        <f t="shared" si="25"/>
        <v/>
      </c>
      <c r="M430" s="12" t="str">
        <f>IF(COUNTIF(Receipts!$B$5:$B$510,A430)=0,"",IFERROR(LOOKUP(2,1/(Receipts!$B$5:$B$510=A430),Receipts!$C$5:$C$510),""))</f>
        <v/>
      </c>
      <c r="N430" s="6" t="str">
        <f t="shared" ca="1" si="26"/>
        <v/>
      </c>
      <c r="O430" s="11" t="str">
        <f t="shared" ca="1" si="27"/>
        <v/>
      </c>
      <c r="P430" s="5"/>
    </row>
    <row r="431" spans="1:16" x14ac:dyDescent="0.25">
      <c r="A431" s="5"/>
      <c r="B431" s="5"/>
      <c r="C431" s="6" t="str">
        <f>IFERROR(INDEX(Suppliers!$B$5:$B$104,MATCH(B431,Suppliers!$A$5:$A$104,0)),"")</f>
        <v/>
      </c>
      <c r="D431" s="5"/>
      <c r="E431" s="5"/>
      <c r="F431" s="7"/>
      <c r="G431" s="7"/>
      <c r="H431" s="8"/>
      <c r="I431" s="9"/>
      <c r="J431" s="10" t="str">
        <f t="shared" si="24"/>
        <v/>
      </c>
      <c r="K431" s="11" t="str">
        <f>IF(A431="","",SUMIF(Receipts!$B$5:$B$510,A431,Receipts!$D$5:$D$510))</f>
        <v/>
      </c>
      <c r="L431" s="11" t="str">
        <f t="shared" si="25"/>
        <v/>
      </c>
      <c r="M431" s="12" t="str">
        <f>IF(COUNTIF(Receipts!$B$5:$B$510,A431)=0,"",IFERROR(LOOKUP(2,1/(Receipts!$B$5:$B$510=A431),Receipts!$C$5:$C$510),""))</f>
        <v/>
      </c>
      <c r="N431" s="6" t="str">
        <f t="shared" ca="1" si="26"/>
        <v/>
      </c>
      <c r="O431" s="11" t="str">
        <f t="shared" ca="1" si="27"/>
        <v/>
      </c>
      <c r="P431" s="5"/>
    </row>
    <row r="432" spans="1:16" x14ac:dyDescent="0.25">
      <c r="A432" s="5"/>
      <c r="B432" s="5"/>
      <c r="C432" s="6" t="str">
        <f>IFERROR(INDEX(Suppliers!$B$5:$B$104,MATCH(B432,Suppliers!$A$5:$A$104,0)),"")</f>
        <v/>
      </c>
      <c r="D432" s="5"/>
      <c r="E432" s="5"/>
      <c r="F432" s="7"/>
      <c r="G432" s="7"/>
      <c r="H432" s="8"/>
      <c r="I432" s="9"/>
      <c r="J432" s="10" t="str">
        <f t="shared" si="24"/>
        <v/>
      </c>
      <c r="K432" s="11" t="str">
        <f>IF(A432="","",SUMIF(Receipts!$B$5:$B$510,A432,Receipts!$D$5:$D$510))</f>
        <v/>
      </c>
      <c r="L432" s="11" t="str">
        <f t="shared" si="25"/>
        <v/>
      </c>
      <c r="M432" s="12" t="str">
        <f>IF(COUNTIF(Receipts!$B$5:$B$510,A432)=0,"",IFERROR(LOOKUP(2,1/(Receipts!$B$5:$B$510=A432),Receipts!$C$5:$C$510),""))</f>
        <v/>
      </c>
      <c r="N432" s="6" t="str">
        <f t="shared" ca="1" si="26"/>
        <v/>
      </c>
      <c r="O432" s="11" t="str">
        <f t="shared" ca="1" si="27"/>
        <v/>
      </c>
      <c r="P432" s="5"/>
    </row>
    <row r="433" spans="1:16" x14ac:dyDescent="0.25">
      <c r="A433" s="5"/>
      <c r="B433" s="5"/>
      <c r="C433" s="6" t="str">
        <f>IFERROR(INDEX(Suppliers!$B$5:$B$104,MATCH(B433,Suppliers!$A$5:$A$104,0)),"")</f>
        <v/>
      </c>
      <c r="D433" s="5"/>
      <c r="E433" s="5"/>
      <c r="F433" s="7"/>
      <c r="G433" s="7"/>
      <c r="H433" s="8"/>
      <c r="I433" s="9"/>
      <c r="J433" s="10" t="str">
        <f t="shared" si="24"/>
        <v/>
      </c>
      <c r="K433" s="11" t="str">
        <f>IF(A433="","",SUMIF(Receipts!$B$5:$B$510,A433,Receipts!$D$5:$D$510))</f>
        <v/>
      </c>
      <c r="L433" s="11" t="str">
        <f t="shared" si="25"/>
        <v/>
      </c>
      <c r="M433" s="12" t="str">
        <f>IF(COUNTIF(Receipts!$B$5:$B$510,A433)=0,"",IFERROR(LOOKUP(2,1/(Receipts!$B$5:$B$510=A433),Receipts!$C$5:$C$510),""))</f>
        <v/>
      </c>
      <c r="N433" s="6" t="str">
        <f t="shared" ca="1" si="26"/>
        <v/>
      </c>
      <c r="O433" s="11" t="str">
        <f t="shared" ca="1" si="27"/>
        <v/>
      </c>
      <c r="P433" s="5"/>
    </row>
    <row r="434" spans="1:16" x14ac:dyDescent="0.25">
      <c r="A434" s="5"/>
      <c r="B434" s="5"/>
      <c r="C434" s="6" t="str">
        <f>IFERROR(INDEX(Suppliers!$B$5:$B$104,MATCH(B434,Suppliers!$A$5:$A$104,0)),"")</f>
        <v/>
      </c>
      <c r="D434" s="5"/>
      <c r="E434" s="5"/>
      <c r="F434" s="7"/>
      <c r="G434" s="7"/>
      <c r="H434" s="8"/>
      <c r="I434" s="9"/>
      <c r="J434" s="10" t="str">
        <f t="shared" si="24"/>
        <v/>
      </c>
      <c r="K434" s="11" t="str">
        <f>IF(A434="","",SUMIF(Receipts!$B$5:$B$510,A434,Receipts!$D$5:$D$510))</f>
        <v/>
      </c>
      <c r="L434" s="11" t="str">
        <f t="shared" si="25"/>
        <v/>
      </c>
      <c r="M434" s="12" t="str">
        <f>IF(COUNTIF(Receipts!$B$5:$B$510,A434)=0,"",IFERROR(LOOKUP(2,1/(Receipts!$B$5:$B$510=A434),Receipts!$C$5:$C$510),""))</f>
        <v/>
      </c>
      <c r="N434" s="6" t="str">
        <f t="shared" ca="1" si="26"/>
        <v/>
      </c>
      <c r="O434" s="11" t="str">
        <f t="shared" ca="1" si="27"/>
        <v/>
      </c>
      <c r="P434" s="5"/>
    </row>
    <row r="435" spans="1:16" x14ac:dyDescent="0.25">
      <c r="A435" s="5"/>
      <c r="B435" s="5"/>
      <c r="C435" s="6" t="str">
        <f>IFERROR(INDEX(Suppliers!$B$5:$B$104,MATCH(B435,Suppliers!$A$5:$A$104,0)),"")</f>
        <v/>
      </c>
      <c r="D435" s="5"/>
      <c r="E435" s="5"/>
      <c r="F435" s="7"/>
      <c r="G435" s="7"/>
      <c r="H435" s="8"/>
      <c r="I435" s="9"/>
      <c r="J435" s="10" t="str">
        <f t="shared" si="24"/>
        <v/>
      </c>
      <c r="K435" s="11" t="str">
        <f>IF(A435="","",SUMIF(Receipts!$B$5:$B$510,A435,Receipts!$D$5:$D$510))</f>
        <v/>
      </c>
      <c r="L435" s="11" t="str">
        <f t="shared" si="25"/>
        <v/>
      </c>
      <c r="M435" s="12" t="str">
        <f>IF(COUNTIF(Receipts!$B$5:$B$510,A435)=0,"",IFERROR(LOOKUP(2,1/(Receipts!$B$5:$B$510=A435),Receipts!$C$5:$C$510),""))</f>
        <v/>
      </c>
      <c r="N435" s="6" t="str">
        <f t="shared" ca="1" si="26"/>
        <v/>
      </c>
      <c r="O435" s="11" t="str">
        <f t="shared" ca="1" si="27"/>
        <v/>
      </c>
      <c r="P435" s="5"/>
    </row>
    <row r="436" spans="1:16" x14ac:dyDescent="0.25">
      <c r="A436" s="5"/>
      <c r="B436" s="5"/>
      <c r="C436" s="6" t="str">
        <f>IFERROR(INDEX(Suppliers!$B$5:$B$104,MATCH(B436,Suppliers!$A$5:$A$104,0)),"")</f>
        <v/>
      </c>
      <c r="D436" s="5"/>
      <c r="E436" s="5"/>
      <c r="F436" s="7"/>
      <c r="G436" s="7"/>
      <c r="H436" s="8"/>
      <c r="I436" s="9"/>
      <c r="J436" s="10" t="str">
        <f t="shared" si="24"/>
        <v/>
      </c>
      <c r="K436" s="11" t="str">
        <f>IF(A436="","",SUMIF(Receipts!$B$5:$B$510,A436,Receipts!$D$5:$D$510))</f>
        <v/>
      </c>
      <c r="L436" s="11" t="str">
        <f t="shared" si="25"/>
        <v/>
      </c>
      <c r="M436" s="12" t="str">
        <f>IF(COUNTIF(Receipts!$B$5:$B$510,A436)=0,"",IFERROR(LOOKUP(2,1/(Receipts!$B$5:$B$510=A436),Receipts!$C$5:$C$510),""))</f>
        <v/>
      </c>
      <c r="N436" s="6" t="str">
        <f t="shared" ca="1" si="26"/>
        <v/>
      </c>
      <c r="O436" s="11" t="str">
        <f t="shared" ca="1" si="27"/>
        <v/>
      </c>
      <c r="P436" s="5"/>
    </row>
    <row r="437" spans="1:16" x14ac:dyDescent="0.25">
      <c r="A437" s="5"/>
      <c r="B437" s="5"/>
      <c r="C437" s="6" t="str">
        <f>IFERROR(INDEX(Suppliers!$B$5:$B$104,MATCH(B437,Suppliers!$A$5:$A$104,0)),"")</f>
        <v/>
      </c>
      <c r="D437" s="5"/>
      <c r="E437" s="5"/>
      <c r="F437" s="7"/>
      <c r="G437" s="7"/>
      <c r="H437" s="8"/>
      <c r="I437" s="9"/>
      <c r="J437" s="10" t="str">
        <f t="shared" si="24"/>
        <v/>
      </c>
      <c r="K437" s="11" t="str">
        <f>IF(A437="","",SUMIF(Receipts!$B$5:$B$510,A437,Receipts!$D$5:$D$510))</f>
        <v/>
      </c>
      <c r="L437" s="11" t="str">
        <f t="shared" si="25"/>
        <v/>
      </c>
      <c r="M437" s="12" t="str">
        <f>IF(COUNTIF(Receipts!$B$5:$B$510,A437)=0,"",IFERROR(LOOKUP(2,1/(Receipts!$B$5:$B$510=A437),Receipts!$C$5:$C$510),""))</f>
        <v/>
      </c>
      <c r="N437" s="6" t="str">
        <f t="shared" ca="1" si="26"/>
        <v/>
      </c>
      <c r="O437" s="11" t="str">
        <f t="shared" ca="1" si="27"/>
        <v/>
      </c>
      <c r="P437" s="5"/>
    </row>
    <row r="438" spans="1:16" x14ac:dyDescent="0.25">
      <c r="A438" s="5"/>
      <c r="B438" s="5"/>
      <c r="C438" s="6" t="str">
        <f>IFERROR(INDEX(Suppliers!$B$5:$B$104,MATCH(B438,Suppliers!$A$5:$A$104,0)),"")</f>
        <v/>
      </c>
      <c r="D438" s="5"/>
      <c r="E438" s="5"/>
      <c r="F438" s="7"/>
      <c r="G438" s="7"/>
      <c r="H438" s="8"/>
      <c r="I438" s="9"/>
      <c r="J438" s="10" t="str">
        <f t="shared" si="24"/>
        <v/>
      </c>
      <c r="K438" s="11" t="str">
        <f>IF(A438="","",SUMIF(Receipts!$B$5:$B$510,A438,Receipts!$D$5:$D$510))</f>
        <v/>
      </c>
      <c r="L438" s="11" t="str">
        <f t="shared" si="25"/>
        <v/>
      </c>
      <c r="M438" s="12" t="str">
        <f>IF(COUNTIF(Receipts!$B$5:$B$510,A438)=0,"",IFERROR(LOOKUP(2,1/(Receipts!$B$5:$B$510=A438),Receipts!$C$5:$C$510),""))</f>
        <v/>
      </c>
      <c r="N438" s="6" t="str">
        <f t="shared" ca="1" si="26"/>
        <v/>
      </c>
      <c r="O438" s="11" t="str">
        <f t="shared" ca="1" si="27"/>
        <v/>
      </c>
      <c r="P438" s="5"/>
    </row>
    <row r="439" spans="1:16" x14ac:dyDescent="0.25">
      <c r="A439" s="5"/>
      <c r="B439" s="5"/>
      <c r="C439" s="6" t="str">
        <f>IFERROR(INDEX(Suppliers!$B$5:$B$104,MATCH(B439,Suppliers!$A$5:$A$104,0)),"")</f>
        <v/>
      </c>
      <c r="D439" s="5"/>
      <c r="E439" s="5"/>
      <c r="F439" s="7"/>
      <c r="G439" s="7"/>
      <c r="H439" s="8"/>
      <c r="I439" s="9"/>
      <c r="J439" s="10" t="str">
        <f t="shared" si="24"/>
        <v/>
      </c>
      <c r="K439" s="11" t="str">
        <f>IF(A439="","",SUMIF(Receipts!$B$5:$B$510,A439,Receipts!$D$5:$D$510))</f>
        <v/>
      </c>
      <c r="L439" s="11" t="str">
        <f t="shared" si="25"/>
        <v/>
      </c>
      <c r="M439" s="12" t="str">
        <f>IF(COUNTIF(Receipts!$B$5:$B$510,A439)=0,"",IFERROR(LOOKUP(2,1/(Receipts!$B$5:$B$510=A439),Receipts!$C$5:$C$510),""))</f>
        <v/>
      </c>
      <c r="N439" s="6" t="str">
        <f t="shared" ca="1" si="26"/>
        <v/>
      </c>
      <c r="O439" s="11" t="str">
        <f t="shared" ca="1" si="27"/>
        <v/>
      </c>
      <c r="P439" s="5"/>
    </row>
    <row r="440" spans="1:16" x14ac:dyDescent="0.25">
      <c r="A440" s="5"/>
      <c r="B440" s="5"/>
      <c r="C440" s="6" t="str">
        <f>IFERROR(INDEX(Suppliers!$B$5:$B$104,MATCH(B440,Suppliers!$A$5:$A$104,0)),"")</f>
        <v/>
      </c>
      <c r="D440" s="5"/>
      <c r="E440" s="5"/>
      <c r="F440" s="7"/>
      <c r="G440" s="7"/>
      <c r="H440" s="8"/>
      <c r="I440" s="9"/>
      <c r="J440" s="10" t="str">
        <f t="shared" si="24"/>
        <v/>
      </c>
      <c r="K440" s="11" t="str">
        <f>IF(A440="","",SUMIF(Receipts!$B$5:$B$510,A440,Receipts!$D$5:$D$510))</f>
        <v/>
      </c>
      <c r="L440" s="11" t="str">
        <f t="shared" si="25"/>
        <v/>
      </c>
      <c r="M440" s="12" t="str">
        <f>IF(COUNTIF(Receipts!$B$5:$B$510,A440)=0,"",IFERROR(LOOKUP(2,1/(Receipts!$B$5:$B$510=A440),Receipts!$C$5:$C$510),""))</f>
        <v/>
      </c>
      <c r="N440" s="6" t="str">
        <f t="shared" ca="1" si="26"/>
        <v/>
      </c>
      <c r="O440" s="11" t="str">
        <f t="shared" ca="1" si="27"/>
        <v/>
      </c>
      <c r="P440" s="5"/>
    </row>
    <row r="441" spans="1:16" x14ac:dyDescent="0.25">
      <c r="A441" s="5"/>
      <c r="B441" s="5"/>
      <c r="C441" s="6" t="str">
        <f>IFERROR(INDEX(Suppliers!$B$5:$B$104,MATCH(B441,Suppliers!$A$5:$A$104,0)),"")</f>
        <v/>
      </c>
      <c r="D441" s="5"/>
      <c r="E441" s="5"/>
      <c r="F441" s="7"/>
      <c r="G441" s="7"/>
      <c r="H441" s="8"/>
      <c r="I441" s="9"/>
      <c r="J441" s="10" t="str">
        <f t="shared" si="24"/>
        <v/>
      </c>
      <c r="K441" s="11" t="str">
        <f>IF(A441="","",SUMIF(Receipts!$B$5:$B$510,A441,Receipts!$D$5:$D$510))</f>
        <v/>
      </c>
      <c r="L441" s="11" t="str">
        <f t="shared" si="25"/>
        <v/>
      </c>
      <c r="M441" s="12" t="str">
        <f>IF(COUNTIF(Receipts!$B$5:$B$510,A441)=0,"",IFERROR(LOOKUP(2,1/(Receipts!$B$5:$B$510=A441),Receipts!$C$5:$C$510),""))</f>
        <v/>
      </c>
      <c r="N441" s="6" t="str">
        <f t="shared" ca="1" si="26"/>
        <v/>
      </c>
      <c r="O441" s="11" t="str">
        <f t="shared" ca="1" si="27"/>
        <v/>
      </c>
      <c r="P441" s="5"/>
    </row>
    <row r="442" spans="1:16" x14ac:dyDescent="0.25">
      <c r="A442" s="5"/>
      <c r="B442" s="5"/>
      <c r="C442" s="6" t="str">
        <f>IFERROR(INDEX(Suppliers!$B$5:$B$104,MATCH(B442,Suppliers!$A$5:$A$104,0)),"")</f>
        <v/>
      </c>
      <c r="D442" s="5"/>
      <c r="E442" s="5"/>
      <c r="F442" s="7"/>
      <c r="G442" s="7"/>
      <c r="H442" s="8"/>
      <c r="I442" s="9"/>
      <c r="J442" s="10" t="str">
        <f t="shared" si="24"/>
        <v/>
      </c>
      <c r="K442" s="11" t="str">
        <f>IF(A442="","",SUMIF(Receipts!$B$5:$B$510,A442,Receipts!$D$5:$D$510))</f>
        <v/>
      </c>
      <c r="L442" s="11" t="str">
        <f t="shared" si="25"/>
        <v/>
      </c>
      <c r="M442" s="12" t="str">
        <f>IF(COUNTIF(Receipts!$B$5:$B$510,A442)=0,"",IFERROR(LOOKUP(2,1/(Receipts!$B$5:$B$510=A442),Receipts!$C$5:$C$510),""))</f>
        <v/>
      </c>
      <c r="N442" s="6" t="str">
        <f t="shared" ca="1" si="26"/>
        <v/>
      </c>
      <c r="O442" s="11" t="str">
        <f t="shared" ca="1" si="27"/>
        <v/>
      </c>
      <c r="P442" s="5"/>
    </row>
    <row r="443" spans="1:16" x14ac:dyDescent="0.25">
      <c r="A443" s="5"/>
      <c r="B443" s="5"/>
      <c r="C443" s="6" t="str">
        <f>IFERROR(INDEX(Suppliers!$B$5:$B$104,MATCH(B443,Suppliers!$A$5:$A$104,0)),"")</f>
        <v/>
      </c>
      <c r="D443" s="5"/>
      <c r="E443" s="5"/>
      <c r="F443" s="7"/>
      <c r="G443" s="7"/>
      <c r="H443" s="8"/>
      <c r="I443" s="9"/>
      <c r="J443" s="10" t="str">
        <f t="shared" si="24"/>
        <v/>
      </c>
      <c r="K443" s="11" t="str">
        <f>IF(A443="","",SUMIF(Receipts!$B$5:$B$510,A443,Receipts!$D$5:$D$510))</f>
        <v/>
      </c>
      <c r="L443" s="11" t="str">
        <f t="shared" si="25"/>
        <v/>
      </c>
      <c r="M443" s="12" t="str">
        <f>IF(COUNTIF(Receipts!$B$5:$B$510,A443)=0,"",IFERROR(LOOKUP(2,1/(Receipts!$B$5:$B$510=A443),Receipts!$C$5:$C$510),""))</f>
        <v/>
      </c>
      <c r="N443" s="6" t="str">
        <f t="shared" ca="1" si="26"/>
        <v/>
      </c>
      <c r="O443" s="11" t="str">
        <f t="shared" ca="1" si="27"/>
        <v/>
      </c>
      <c r="P443" s="5"/>
    </row>
    <row r="444" spans="1:16" x14ac:dyDescent="0.25">
      <c r="A444" s="5"/>
      <c r="B444" s="5"/>
      <c r="C444" s="6" t="str">
        <f>IFERROR(INDEX(Suppliers!$B$5:$B$104,MATCH(B444,Suppliers!$A$5:$A$104,0)),"")</f>
        <v/>
      </c>
      <c r="D444" s="5"/>
      <c r="E444" s="5"/>
      <c r="F444" s="7"/>
      <c r="G444" s="7"/>
      <c r="H444" s="8"/>
      <c r="I444" s="9"/>
      <c r="J444" s="10" t="str">
        <f t="shared" si="24"/>
        <v/>
      </c>
      <c r="K444" s="11" t="str">
        <f>IF(A444="","",SUMIF(Receipts!$B$5:$B$510,A444,Receipts!$D$5:$D$510))</f>
        <v/>
      </c>
      <c r="L444" s="11" t="str">
        <f t="shared" si="25"/>
        <v/>
      </c>
      <c r="M444" s="12" t="str">
        <f>IF(COUNTIF(Receipts!$B$5:$B$510,A444)=0,"",IFERROR(LOOKUP(2,1/(Receipts!$B$5:$B$510=A444),Receipts!$C$5:$C$510),""))</f>
        <v/>
      </c>
      <c r="N444" s="6" t="str">
        <f t="shared" ca="1" si="26"/>
        <v/>
      </c>
      <c r="O444" s="11" t="str">
        <f t="shared" ca="1" si="27"/>
        <v/>
      </c>
      <c r="P444" s="5"/>
    </row>
    <row r="445" spans="1:16" x14ac:dyDescent="0.25">
      <c r="A445" s="5"/>
      <c r="B445" s="5"/>
      <c r="C445" s="6" t="str">
        <f>IFERROR(INDEX(Suppliers!$B$5:$B$104,MATCH(B445,Suppliers!$A$5:$A$104,0)),"")</f>
        <v/>
      </c>
      <c r="D445" s="5"/>
      <c r="E445" s="5"/>
      <c r="F445" s="7"/>
      <c r="G445" s="7"/>
      <c r="H445" s="8"/>
      <c r="I445" s="9"/>
      <c r="J445" s="10" t="str">
        <f t="shared" si="24"/>
        <v/>
      </c>
      <c r="K445" s="11" t="str">
        <f>IF(A445="","",SUMIF(Receipts!$B$5:$B$510,A445,Receipts!$D$5:$D$510))</f>
        <v/>
      </c>
      <c r="L445" s="11" t="str">
        <f t="shared" si="25"/>
        <v/>
      </c>
      <c r="M445" s="12" t="str">
        <f>IF(COUNTIF(Receipts!$B$5:$B$510,A445)=0,"",IFERROR(LOOKUP(2,1/(Receipts!$B$5:$B$510=A445),Receipts!$C$5:$C$510),""))</f>
        <v/>
      </c>
      <c r="N445" s="6" t="str">
        <f t="shared" ca="1" si="26"/>
        <v/>
      </c>
      <c r="O445" s="11" t="str">
        <f t="shared" ca="1" si="27"/>
        <v/>
      </c>
      <c r="P445" s="5"/>
    </row>
    <row r="446" spans="1:16" x14ac:dyDescent="0.25">
      <c r="A446" s="5"/>
      <c r="B446" s="5"/>
      <c r="C446" s="6" t="str">
        <f>IFERROR(INDEX(Suppliers!$B$5:$B$104,MATCH(B446,Suppliers!$A$5:$A$104,0)),"")</f>
        <v/>
      </c>
      <c r="D446" s="5"/>
      <c r="E446" s="5"/>
      <c r="F446" s="7"/>
      <c r="G446" s="7"/>
      <c r="H446" s="8"/>
      <c r="I446" s="9"/>
      <c r="J446" s="10" t="str">
        <f t="shared" si="24"/>
        <v/>
      </c>
      <c r="K446" s="11" t="str">
        <f>IF(A446="","",SUMIF(Receipts!$B$5:$B$510,A446,Receipts!$D$5:$D$510))</f>
        <v/>
      </c>
      <c r="L446" s="11" t="str">
        <f t="shared" si="25"/>
        <v/>
      </c>
      <c r="M446" s="12" t="str">
        <f>IF(COUNTIF(Receipts!$B$5:$B$510,A446)=0,"",IFERROR(LOOKUP(2,1/(Receipts!$B$5:$B$510=A446),Receipts!$C$5:$C$510),""))</f>
        <v/>
      </c>
      <c r="N446" s="6" t="str">
        <f t="shared" ca="1" si="26"/>
        <v/>
      </c>
      <c r="O446" s="11" t="str">
        <f t="shared" ca="1" si="27"/>
        <v/>
      </c>
      <c r="P446" s="5"/>
    </row>
    <row r="447" spans="1:16" x14ac:dyDescent="0.25">
      <c r="A447" s="5"/>
      <c r="B447" s="5"/>
      <c r="C447" s="6" t="str">
        <f>IFERROR(INDEX(Suppliers!$B$5:$B$104,MATCH(B447,Suppliers!$A$5:$A$104,0)),"")</f>
        <v/>
      </c>
      <c r="D447" s="5"/>
      <c r="E447" s="5"/>
      <c r="F447" s="7"/>
      <c r="G447" s="7"/>
      <c r="H447" s="8"/>
      <c r="I447" s="9"/>
      <c r="J447" s="10" t="str">
        <f t="shared" si="24"/>
        <v/>
      </c>
      <c r="K447" s="11" t="str">
        <f>IF(A447="","",SUMIF(Receipts!$B$5:$B$510,A447,Receipts!$D$5:$D$510))</f>
        <v/>
      </c>
      <c r="L447" s="11" t="str">
        <f t="shared" si="25"/>
        <v/>
      </c>
      <c r="M447" s="12" t="str">
        <f>IF(COUNTIF(Receipts!$B$5:$B$510,A447)=0,"",IFERROR(LOOKUP(2,1/(Receipts!$B$5:$B$510=A447),Receipts!$C$5:$C$510),""))</f>
        <v/>
      </c>
      <c r="N447" s="6" t="str">
        <f t="shared" ca="1" si="26"/>
        <v/>
      </c>
      <c r="O447" s="11" t="str">
        <f t="shared" ca="1" si="27"/>
        <v/>
      </c>
      <c r="P447" s="5"/>
    </row>
    <row r="448" spans="1:16" x14ac:dyDescent="0.25">
      <c r="A448" s="5"/>
      <c r="B448" s="5"/>
      <c r="C448" s="6" t="str">
        <f>IFERROR(INDEX(Suppliers!$B$5:$B$104,MATCH(B448,Suppliers!$A$5:$A$104,0)),"")</f>
        <v/>
      </c>
      <c r="D448" s="5"/>
      <c r="E448" s="5"/>
      <c r="F448" s="7"/>
      <c r="G448" s="7"/>
      <c r="H448" s="8"/>
      <c r="I448" s="9"/>
      <c r="J448" s="10" t="str">
        <f t="shared" si="24"/>
        <v/>
      </c>
      <c r="K448" s="11" t="str">
        <f>IF(A448="","",SUMIF(Receipts!$B$5:$B$510,A448,Receipts!$D$5:$D$510))</f>
        <v/>
      </c>
      <c r="L448" s="11" t="str">
        <f t="shared" si="25"/>
        <v/>
      </c>
      <c r="M448" s="12" t="str">
        <f>IF(COUNTIF(Receipts!$B$5:$B$510,A448)=0,"",IFERROR(LOOKUP(2,1/(Receipts!$B$5:$B$510=A448),Receipts!$C$5:$C$510),""))</f>
        <v/>
      </c>
      <c r="N448" s="6" t="str">
        <f t="shared" ca="1" si="26"/>
        <v/>
      </c>
      <c r="O448" s="11" t="str">
        <f t="shared" ca="1" si="27"/>
        <v/>
      </c>
      <c r="P448" s="5"/>
    </row>
    <row r="449" spans="1:16" x14ac:dyDescent="0.25">
      <c r="A449" s="5"/>
      <c r="B449" s="5"/>
      <c r="C449" s="6" t="str">
        <f>IFERROR(INDEX(Suppliers!$B$5:$B$104,MATCH(B449,Suppliers!$A$5:$A$104,0)),"")</f>
        <v/>
      </c>
      <c r="D449" s="5"/>
      <c r="E449" s="5"/>
      <c r="F449" s="7"/>
      <c r="G449" s="7"/>
      <c r="H449" s="8"/>
      <c r="I449" s="9"/>
      <c r="J449" s="10" t="str">
        <f t="shared" si="24"/>
        <v/>
      </c>
      <c r="K449" s="11" t="str">
        <f>IF(A449="","",SUMIF(Receipts!$B$5:$B$510,A449,Receipts!$D$5:$D$510))</f>
        <v/>
      </c>
      <c r="L449" s="11" t="str">
        <f t="shared" si="25"/>
        <v/>
      </c>
      <c r="M449" s="12" t="str">
        <f>IF(COUNTIF(Receipts!$B$5:$B$510,A449)=0,"",IFERROR(LOOKUP(2,1/(Receipts!$B$5:$B$510=A449),Receipts!$C$5:$C$510),""))</f>
        <v/>
      </c>
      <c r="N449" s="6" t="str">
        <f t="shared" ca="1" si="26"/>
        <v/>
      </c>
      <c r="O449" s="11" t="str">
        <f t="shared" ca="1" si="27"/>
        <v/>
      </c>
      <c r="P449" s="5"/>
    </row>
    <row r="450" spans="1:16" x14ac:dyDescent="0.25">
      <c r="A450" s="5"/>
      <c r="B450" s="5"/>
      <c r="C450" s="6" t="str">
        <f>IFERROR(INDEX(Suppliers!$B$5:$B$104,MATCH(B450,Suppliers!$A$5:$A$104,0)),"")</f>
        <v/>
      </c>
      <c r="D450" s="5"/>
      <c r="E450" s="5"/>
      <c r="F450" s="7"/>
      <c r="G450" s="7"/>
      <c r="H450" s="8"/>
      <c r="I450" s="9"/>
      <c r="J450" s="10" t="str">
        <f t="shared" si="24"/>
        <v/>
      </c>
      <c r="K450" s="11" t="str">
        <f>IF(A450="","",SUMIF(Receipts!$B$5:$B$510,A450,Receipts!$D$5:$D$510))</f>
        <v/>
      </c>
      <c r="L450" s="11" t="str">
        <f t="shared" si="25"/>
        <v/>
      </c>
      <c r="M450" s="12" t="str">
        <f>IF(COUNTIF(Receipts!$B$5:$B$510,A450)=0,"",IFERROR(LOOKUP(2,1/(Receipts!$B$5:$B$510=A450),Receipts!$C$5:$C$510),""))</f>
        <v/>
      </c>
      <c r="N450" s="6" t="str">
        <f t="shared" ca="1" si="26"/>
        <v/>
      </c>
      <c r="O450" s="11" t="str">
        <f t="shared" ca="1" si="27"/>
        <v/>
      </c>
      <c r="P450" s="5"/>
    </row>
    <row r="451" spans="1:16" x14ac:dyDescent="0.25">
      <c r="A451" s="5"/>
      <c r="B451" s="5"/>
      <c r="C451" s="6" t="str">
        <f>IFERROR(INDEX(Suppliers!$B$5:$B$104,MATCH(B451,Suppliers!$A$5:$A$104,0)),"")</f>
        <v/>
      </c>
      <c r="D451" s="5"/>
      <c r="E451" s="5"/>
      <c r="F451" s="7"/>
      <c r="G451" s="7"/>
      <c r="H451" s="8"/>
      <c r="I451" s="9"/>
      <c r="J451" s="10" t="str">
        <f t="shared" si="24"/>
        <v/>
      </c>
      <c r="K451" s="11" t="str">
        <f>IF(A451="","",SUMIF(Receipts!$B$5:$B$510,A451,Receipts!$D$5:$D$510))</f>
        <v/>
      </c>
      <c r="L451" s="11" t="str">
        <f t="shared" si="25"/>
        <v/>
      </c>
      <c r="M451" s="12" t="str">
        <f>IF(COUNTIF(Receipts!$B$5:$B$510,A451)=0,"",IFERROR(LOOKUP(2,1/(Receipts!$B$5:$B$510=A451),Receipts!$C$5:$C$510),""))</f>
        <v/>
      </c>
      <c r="N451" s="6" t="str">
        <f t="shared" ca="1" si="26"/>
        <v/>
      </c>
      <c r="O451" s="11" t="str">
        <f t="shared" ca="1" si="27"/>
        <v/>
      </c>
      <c r="P451" s="5"/>
    </row>
    <row r="452" spans="1:16" x14ac:dyDescent="0.25">
      <c r="A452" s="5"/>
      <c r="B452" s="5"/>
      <c r="C452" s="6" t="str">
        <f>IFERROR(INDEX(Suppliers!$B$5:$B$104,MATCH(B452,Suppliers!$A$5:$A$104,0)),"")</f>
        <v/>
      </c>
      <c r="D452" s="5"/>
      <c r="E452" s="5"/>
      <c r="F452" s="7"/>
      <c r="G452" s="7"/>
      <c r="H452" s="8"/>
      <c r="I452" s="9"/>
      <c r="J452" s="10" t="str">
        <f t="shared" si="24"/>
        <v/>
      </c>
      <c r="K452" s="11" t="str">
        <f>IF(A452="","",SUMIF(Receipts!$B$5:$B$510,A452,Receipts!$D$5:$D$510))</f>
        <v/>
      </c>
      <c r="L452" s="11" t="str">
        <f t="shared" si="25"/>
        <v/>
      </c>
      <c r="M452" s="12" t="str">
        <f>IF(COUNTIF(Receipts!$B$5:$B$510,A452)=0,"",IFERROR(LOOKUP(2,1/(Receipts!$B$5:$B$510=A452),Receipts!$C$5:$C$510),""))</f>
        <v/>
      </c>
      <c r="N452" s="6" t="str">
        <f t="shared" ca="1" si="26"/>
        <v/>
      </c>
      <c r="O452" s="11" t="str">
        <f t="shared" ca="1" si="27"/>
        <v/>
      </c>
      <c r="P452" s="5"/>
    </row>
    <row r="453" spans="1:16" x14ac:dyDescent="0.25">
      <c r="A453" s="5"/>
      <c r="B453" s="5"/>
      <c r="C453" s="6" t="str">
        <f>IFERROR(INDEX(Suppliers!$B$5:$B$104,MATCH(B453,Suppliers!$A$5:$A$104,0)),"")</f>
        <v/>
      </c>
      <c r="D453" s="5"/>
      <c r="E453" s="5"/>
      <c r="F453" s="7"/>
      <c r="G453" s="7"/>
      <c r="H453" s="8"/>
      <c r="I453" s="9"/>
      <c r="J453" s="10" t="str">
        <f t="shared" ref="J453:J504" si="28">IF(OR(H453="",I453=""),"",H453*I453)</f>
        <v/>
      </c>
      <c r="K453" s="11" t="str">
        <f>IF(A453="","",SUMIF(Receipts!$B$5:$B$510,A453,Receipts!$D$5:$D$510))</f>
        <v/>
      </c>
      <c r="L453" s="11" t="str">
        <f t="shared" ref="L453:L504" si="29">IF(A453="","",MAX(0,H453-K453))</f>
        <v/>
      </c>
      <c r="M453" s="12" t="str">
        <f>IF(COUNTIF(Receipts!$B$5:$B$510,A453)=0,"",IFERROR(LOOKUP(2,1/(Receipts!$B$5:$B$510=A453),Receipts!$C$5:$C$510),""))</f>
        <v/>
      </c>
      <c r="N453" s="6" t="str">
        <f t="shared" ref="N453:N504" ca="1" si="30">IF(A453="","",IF(OR(H453="",G453=""),"Incomplete",IF(K453&gt;H453,"Over-received",IF(L453=0,"Complete",IF(K453&gt;0,IF(G453&lt;TODAY(),"Overdue - Partial","Partially Received"),IF(G453&lt;TODAY(),"Overdue","Scheduled"))))))</f>
        <v/>
      </c>
      <c r="O453" s="11" t="str">
        <f t="shared" ref="O453:O504" ca="1" si="31">IF(OR(A453="",L453=0,G453=""),"",MAX(0,TODAY()-G453))</f>
        <v/>
      </c>
      <c r="P453" s="5"/>
    </row>
    <row r="454" spans="1:16" x14ac:dyDescent="0.25">
      <c r="A454" s="5"/>
      <c r="B454" s="5"/>
      <c r="C454" s="6" t="str">
        <f>IFERROR(INDEX(Suppliers!$B$5:$B$104,MATCH(B454,Suppliers!$A$5:$A$104,0)),"")</f>
        <v/>
      </c>
      <c r="D454" s="5"/>
      <c r="E454" s="5"/>
      <c r="F454" s="7"/>
      <c r="G454" s="7"/>
      <c r="H454" s="8"/>
      <c r="I454" s="9"/>
      <c r="J454" s="10" t="str">
        <f t="shared" si="28"/>
        <v/>
      </c>
      <c r="K454" s="11" t="str">
        <f>IF(A454="","",SUMIF(Receipts!$B$5:$B$510,A454,Receipts!$D$5:$D$510))</f>
        <v/>
      </c>
      <c r="L454" s="11" t="str">
        <f t="shared" si="29"/>
        <v/>
      </c>
      <c r="M454" s="12" t="str">
        <f>IF(COUNTIF(Receipts!$B$5:$B$510,A454)=0,"",IFERROR(LOOKUP(2,1/(Receipts!$B$5:$B$510=A454),Receipts!$C$5:$C$510),""))</f>
        <v/>
      </c>
      <c r="N454" s="6" t="str">
        <f t="shared" ca="1" si="30"/>
        <v/>
      </c>
      <c r="O454" s="11" t="str">
        <f t="shared" ca="1" si="31"/>
        <v/>
      </c>
      <c r="P454" s="5"/>
    </row>
    <row r="455" spans="1:16" x14ac:dyDescent="0.25">
      <c r="A455" s="5"/>
      <c r="B455" s="5"/>
      <c r="C455" s="6" t="str">
        <f>IFERROR(INDEX(Suppliers!$B$5:$B$104,MATCH(B455,Suppliers!$A$5:$A$104,0)),"")</f>
        <v/>
      </c>
      <c r="D455" s="5"/>
      <c r="E455" s="5"/>
      <c r="F455" s="7"/>
      <c r="G455" s="7"/>
      <c r="H455" s="8"/>
      <c r="I455" s="9"/>
      <c r="J455" s="10" t="str">
        <f t="shared" si="28"/>
        <v/>
      </c>
      <c r="K455" s="11" t="str">
        <f>IF(A455="","",SUMIF(Receipts!$B$5:$B$510,A455,Receipts!$D$5:$D$510))</f>
        <v/>
      </c>
      <c r="L455" s="11" t="str">
        <f t="shared" si="29"/>
        <v/>
      </c>
      <c r="M455" s="12" t="str">
        <f>IF(COUNTIF(Receipts!$B$5:$B$510,A455)=0,"",IFERROR(LOOKUP(2,1/(Receipts!$B$5:$B$510=A455),Receipts!$C$5:$C$510),""))</f>
        <v/>
      </c>
      <c r="N455" s="6" t="str">
        <f t="shared" ca="1" si="30"/>
        <v/>
      </c>
      <c r="O455" s="11" t="str">
        <f t="shared" ca="1" si="31"/>
        <v/>
      </c>
      <c r="P455" s="5"/>
    </row>
    <row r="456" spans="1:16" x14ac:dyDescent="0.25">
      <c r="A456" s="5"/>
      <c r="B456" s="5"/>
      <c r="C456" s="6" t="str">
        <f>IFERROR(INDEX(Suppliers!$B$5:$B$104,MATCH(B456,Suppliers!$A$5:$A$104,0)),"")</f>
        <v/>
      </c>
      <c r="D456" s="5"/>
      <c r="E456" s="5"/>
      <c r="F456" s="7"/>
      <c r="G456" s="7"/>
      <c r="H456" s="8"/>
      <c r="I456" s="9"/>
      <c r="J456" s="10" t="str">
        <f t="shared" si="28"/>
        <v/>
      </c>
      <c r="K456" s="11" t="str">
        <f>IF(A456="","",SUMIF(Receipts!$B$5:$B$510,A456,Receipts!$D$5:$D$510))</f>
        <v/>
      </c>
      <c r="L456" s="11" t="str">
        <f t="shared" si="29"/>
        <v/>
      </c>
      <c r="M456" s="12" t="str">
        <f>IF(COUNTIF(Receipts!$B$5:$B$510,A456)=0,"",IFERROR(LOOKUP(2,1/(Receipts!$B$5:$B$510=A456),Receipts!$C$5:$C$510),""))</f>
        <v/>
      </c>
      <c r="N456" s="6" t="str">
        <f t="shared" ca="1" si="30"/>
        <v/>
      </c>
      <c r="O456" s="11" t="str">
        <f t="shared" ca="1" si="31"/>
        <v/>
      </c>
      <c r="P456" s="5"/>
    </row>
    <row r="457" spans="1:16" x14ac:dyDescent="0.25">
      <c r="A457" s="5"/>
      <c r="B457" s="5"/>
      <c r="C457" s="6" t="str">
        <f>IFERROR(INDEX(Suppliers!$B$5:$B$104,MATCH(B457,Suppliers!$A$5:$A$104,0)),"")</f>
        <v/>
      </c>
      <c r="D457" s="5"/>
      <c r="E457" s="5"/>
      <c r="F457" s="7"/>
      <c r="G457" s="7"/>
      <c r="H457" s="8"/>
      <c r="I457" s="9"/>
      <c r="J457" s="10" t="str">
        <f t="shared" si="28"/>
        <v/>
      </c>
      <c r="K457" s="11" t="str">
        <f>IF(A457="","",SUMIF(Receipts!$B$5:$B$510,A457,Receipts!$D$5:$D$510))</f>
        <v/>
      </c>
      <c r="L457" s="11" t="str">
        <f t="shared" si="29"/>
        <v/>
      </c>
      <c r="M457" s="12" t="str">
        <f>IF(COUNTIF(Receipts!$B$5:$B$510,A457)=0,"",IFERROR(LOOKUP(2,1/(Receipts!$B$5:$B$510=A457),Receipts!$C$5:$C$510),""))</f>
        <v/>
      </c>
      <c r="N457" s="6" t="str">
        <f t="shared" ca="1" si="30"/>
        <v/>
      </c>
      <c r="O457" s="11" t="str">
        <f t="shared" ca="1" si="31"/>
        <v/>
      </c>
      <c r="P457" s="5"/>
    </row>
    <row r="458" spans="1:16" x14ac:dyDescent="0.25">
      <c r="A458" s="5"/>
      <c r="B458" s="5"/>
      <c r="C458" s="6" t="str">
        <f>IFERROR(INDEX(Suppliers!$B$5:$B$104,MATCH(B458,Suppliers!$A$5:$A$104,0)),"")</f>
        <v/>
      </c>
      <c r="D458" s="5"/>
      <c r="E458" s="5"/>
      <c r="F458" s="7"/>
      <c r="G458" s="7"/>
      <c r="H458" s="8"/>
      <c r="I458" s="9"/>
      <c r="J458" s="10" t="str">
        <f t="shared" si="28"/>
        <v/>
      </c>
      <c r="K458" s="11" t="str">
        <f>IF(A458="","",SUMIF(Receipts!$B$5:$B$510,A458,Receipts!$D$5:$D$510))</f>
        <v/>
      </c>
      <c r="L458" s="11" t="str">
        <f t="shared" si="29"/>
        <v/>
      </c>
      <c r="M458" s="12" t="str">
        <f>IF(COUNTIF(Receipts!$B$5:$B$510,A458)=0,"",IFERROR(LOOKUP(2,1/(Receipts!$B$5:$B$510=A458),Receipts!$C$5:$C$510),""))</f>
        <v/>
      </c>
      <c r="N458" s="6" t="str">
        <f t="shared" ca="1" si="30"/>
        <v/>
      </c>
      <c r="O458" s="11" t="str">
        <f t="shared" ca="1" si="31"/>
        <v/>
      </c>
      <c r="P458" s="5"/>
    </row>
    <row r="459" spans="1:16" x14ac:dyDescent="0.25">
      <c r="A459" s="5"/>
      <c r="B459" s="5"/>
      <c r="C459" s="6" t="str">
        <f>IFERROR(INDEX(Suppliers!$B$5:$B$104,MATCH(B459,Suppliers!$A$5:$A$104,0)),"")</f>
        <v/>
      </c>
      <c r="D459" s="5"/>
      <c r="E459" s="5"/>
      <c r="F459" s="7"/>
      <c r="G459" s="7"/>
      <c r="H459" s="8"/>
      <c r="I459" s="9"/>
      <c r="J459" s="10" t="str">
        <f t="shared" si="28"/>
        <v/>
      </c>
      <c r="K459" s="11" t="str">
        <f>IF(A459="","",SUMIF(Receipts!$B$5:$B$510,A459,Receipts!$D$5:$D$510))</f>
        <v/>
      </c>
      <c r="L459" s="11" t="str">
        <f t="shared" si="29"/>
        <v/>
      </c>
      <c r="M459" s="12" t="str">
        <f>IF(COUNTIF(Receipts!$B$5:$B$510,A459)=0,"",IFERROR(LOOKUP(2,1/(Receipts!$B$5:$B$510=A459),Receipts!$C$5:$C$510),""))</f>
        <v/>
      </c>
      <c r="N459" s="6" t="str">
        <f t="shared" ca="1" si="30"/>
        <v/>
      </c>
      <c r="O459" s="11" t="str">
        <f t="shared" ca="1" si="31"/>
        <v/>
      </c>
      <c r="P459" s="5"/>
    </row>
    <row r="460" spans="1:16" x14ac:dyDescent="0.25">
      <c r="A460" s="5"/>
      <c r="B460" s="5"/>
      <c r="C460" s="6" t="str">
        <f>IFERROR(INDEX(Suppliers!$B$5:$B$104,MATCH(B460,Suppliers!$A$5:$A$104,0)),"")</f>
        <v/>
      </c>
      <c r="D460" s="5"/>
      <c r="E460" s="5"/>
      <c r="F460" s="7"/>
      <c r="G460" s="7"/>
      <c r="H460" s="8"/>
      <c r="I460" s="9"/>
      <c r="J460" s="10" t="str">
        <f t="shared" si="28"/>
        <v/>
      </c>
      <c r="K460" s="11" t="str">
        <f>IF(A460="","",SUMIF(Receipts!$B$5:$B$510,A460,Receipts!$D$5:$D$510))</f>
        <v/>
      </c>
      <c r="L460" s="11" t="str">
        <f t="shared" si="29"/>
        <v/>
      </c>
      <c r="M460" s="12" t="str">
        <f>IF(COUNTIF(Receipts!$B$5:$B$510,A460)=0,"",IFERROR(LOOKUP(2,1/(Receipts!$B$5:$B$510=A460),Receipts!$C$5:$C$510),""))</f>
        <v/>
      </c>
      <c r="N460" s="6" t="str">
        <f t="shared" ca="1" si="30"/>
        <v/>
      </c>
      <c r="O460" s="11" t="str">
        <f t="shared" ca="1" si="31"/>
        <v/>
      </c>
      <c r="P460" s="5"/>
    </row>
    <row r="461" spans="1:16" x14ac:dyDescent="0.25">
      <c r="A461" s="5"/>
      <c r="B461" s="5"/>
      <c r="C461" s="6" t="str">
        <f>IFERROR(INDEX(Suppliers!$B$5:$B$104,MATCH(B461,Suppliers!$A$5:$A$104,0)),"")</f>
        <v/>
      </c>
      <c r="D461" s="5"/>
      <c r="E461" s="5"/>
      <c r="F461" s="7"/>
      <c r="G461" s="7"/>
      <c r="H461" s="8"/>
      <c r="I461" s="9"/>
      <c r="J461" s="10" t="str">
        <f t="shared" si="28"/>
        <v/>
      </c>
      <c r="K461" s="11" t="str">
        <f>IF(A461="","",SUMIF(Receipts!$B$5:$B$510,A461,Receipts!$D$5:$D$510))</f>
        <v/>
      </c>
      <c r="L461" s="11" t="str">
        <f t="shared" si="29"/>
        <v/>
      </c>
      <c r="M461" s="12" t="str">
        <f>IF(COUNTIF(Receipts!$B$5:$B$510,A461)=0,"",IFERROR(LOOKUP(2,1/(Receipts!$B$5:$B$510=A461),Receipts!$C$5:$C$510),""))</f>
        <v/>
      </c>
      <c r="N461" s="6" t="str">
        <f t="shared" ca="1" si="30"/>
        <v/>
      </c>
      <c r="O461" s="11" t="str">
        <f t="shared" ca="1" si="31"/>
        <v/>
      </c>
      <c r="P461" s="5"/>
    </row>
    <row r="462" spans="1:16" x14ac:dyDescent="0.25">
      <c r="A462" s="5"/>
      <c r="B462" s="5"/>
      <c r="C462" s="6" t="str">
        <f>IFERROR(INDEX(Suppliers!$B$5:$B$104,MATCH(B462,Suppliers!$A$5:$A$104,0)),"")</f>
        <v/>
      </c>
      <c r="D462" s="5"/>
      <c r="E462" s="5"/>
      <c r="F462" s="7"/>
      <c r="G462" s="7"/>
      <c r="H462" s="8"/>
      <c r="I462" s="9"/>
      <c r="J462" s="10" t="str">
        <f t="shared" si="28"/>
        <v/>
      </c>
      <c r="K462" s="11" t="str">
        <f>IF(A462="","",SUMIF(Receipts!$B$5:$B$510,A462,Receipts!$D$5:$D$510))</f>
        <v/>
      </c>
      <c r="L462" s="11" t="str">
        <f t="shared" si="29"/>
        <v/>
      </c>
      <c r="M462" s="12" t="str">
        <f>IF(COUNTIF(Receipts!$B$5:$B$510,A462)=0,"",IFERROR(LOOKUP(2,1/(Receipts!$B$5:$B$510=A462),Receipts!$C$5:$C$510),""))</f>
        <v/>
      </c>
      <c r="N462" s="6" t="str">
        <f t="shared" ca="1" si="30"/>
        <v/>
      </c>
      <c r="O462" s="11" t="str">
        <f t="shared" ca="1" si="31"/>
        <v/>
      </c>
      <c r="P462" s="5"/>
    </row>
    <row r="463" spans="1:16" x14ac:dyDescent="0.25">
      <c r="A463" s="5"/>
      <c r="B463" s="5"/>
      <c r="C463" s="6" t="str">
        <f>IFERROR(INDEX(Suppliers!$B$5:$B$104,MATCH(B463,Suppliers!$A$5:$A$104,0)),"")</f>
        <v/>
      </c>
      <c r="D463" s="5"/>
      <c r="E463" s="5"/>
      <c r="F463" s="7"/>
      <c r="G463" s="7"/>
      <c r="H463" s="8"/>
      <c r="I463" s="9"/>
      <c r="J463" s="10" t="str">
        <f t="shared" si="28"/>
        <v/>
      </c>
      <c r="K463" s="11" t="str">
        <f>IF(A463="","",SUMIF(Receipts!$B$5:$B$510,A463,Receipts!$D$5:$D$510))</f>
        <v/>
      </c>
      <c r="L463" s="11" t="str">
        <f t="shared" si="29"/>
        <v/>
      </c>
      <c r="M463" s="12" t="str">
        <f>IF(COUNTIF(Receipts!$B$5:$B$510,A463)=0,"",IFERROR(LOOKUP(2,1/(Receipts!$B$5:$B$510=A463),Receipts!$C$5:$C$510),""))</f>
        <v/>
      </c>
      <c r="N463" s="6" t="str">
        <f t="shared" ca="1" si="30"/>
        <v/>
      </c>
      <c r="O463" s="11" t="str">
        <f t="shared" ca="1" si="31"/>
        <v/>
      </c>
      <c r="P463" s="5"/>
    </row>
    <row r="464" spans="1:16" x14ac:dyDescent="0.25">
      <c r="A464" s="5"/>
      <c r="B464" s="5"/>
      <c r="C464" s="6" t="str">
        <f>IFERROR(INDEX(Suppliers!$B$5:$B$104,MATCH(B464,Suppliers!$A$5:$A$104,0)),"")</f>
        <v/>
      </c>
      <c r="D464" s="5"/>
      <c r="E464" s="5"/>
      <c r="F464" s="7"/>
      <c r="G464" s="7"/>
      <c r="H464" s="8"/>
      <c r="I464" s="9"/>
      <c r="J464" s="10" t="str">
        <f t="shared" si="28"/>
        <v/>
      </c>
      <c r="K464" s="11" t="str">
        <f>IF(A464="","",SUMIF(Receipts!$B$5:$B$510,A464,Receipts!$D$5:$D$510))</f>
        <v/>
      </c>
      <c r="L464" s="11" t="str">
        <f t="shared" si="29"/>
        <v/>
      </c>
      <c r="M464" s="12" t="str">
        <f>IF(COUNTIF(Receipts!$B$5:$B$510,A464)=0,"",IFERROR(LOOKUP(2,1/(Receipts!$B$5:$B$510=A464),Receipts!$C$5:$C$510),""))</f>
        <v/>
      </c>
      <c r="N464" s="6" t="str">
        <f t="shared" ca="1" si="30"/>
        <v/>
      </c>
      <c r="O464" s="11" t="str">
        <f t="shared" ca="1" si="31"/>
        <v/>
      </c>
      <c r="P464" s="5"/>
    </row>
    <row r="465" spans="1:16" x14ac:dyDescent="0.25">
      <c r="A465" s="5"/>
      <c r="B465" s="5"/>
      <c r="C465" s="6" t="str">
        <f>IFERROR(INDEX(Suppliers!$B$5:$B$104,MATCH(B465,Suppliers!$A$5:$A$104,0)),"")</f>
        <v/>
      </c>
      <c r="D465" s="5"/>
      <c r="E465" s="5"/>
      <c r="F465" s="7"/>
      <c r="G465" s="7"/>
      <c r="H465" s="8"/>
      <c r="I465" s="9"/>
      <c r="J465" s="10" t="str">
        <f t="shared" si="28"/>
        <v/>
      </c>
      <c r="K465" s="11" t="str">
        <f>IF(A465="","",SUMIF(Receipts!$B$5:$B$510,A465,Receipts!$D$5:$D$510))</f>
        <v/>
      </c>
      <c r="L465" s="11" t="str">
        <f t="shared" si="29"/>
        <v/>
      </c>
      <c r="M465" s="12" t="str">
        <f>IF(COUNTIF(Receipts!$B$5:$B$510,A465)=0,"",IFERROR(LOOKUP(2,1/(Receipts!$B$5:$B$510=A465),Receipts!$C$5:$C$510),""))</f>
        <v/>
      </c>
      <c r="N465" s="6" t="str">
        <f t="shared" ca="1" si="30"/>
        <v/>
      </c>
      <c r="O465" s="11" t="str">
        <f t="shared" ca="1" si="31"/>
        <v/>
      </c>
      <c r="P465" s="5"/>
    </row>
    <row r="466" spans="1:16" x14ac:dyDescent="0.25">
      <c r="A466" s="5"/>
      <c r="B466" s="5"/>
      <c r="C466" s="6" t="str">
        <f>IFERROR(INDEX(Suppliers!$B$5:$B$104,MATCH(B466,Suppliers!$A$5:$A$104,0)),"")</f>
        <v/>
      </c>
      <c r="D466" s="5"/>
      <c r="E466" s="5"/>
      <c r="F466" s="7"/>
      <c r="G466" s="7"/>
      <c r="H466" s="8"/>
      <c r="I466" s="9"/>
      <c r="J466" s="10" t="str">
        <f t="shared" si="28"/>
        <v/>
      </c>
      <c r="K466" s="11" t="str">
        <f>IF(A466="","",SUMIF(Receipts!$B$5:$B$510,A466,Receipts!$D$5:$D$510))</f>
        <v/>
      </c>
      <c r="L466" s="11" t="str">
        <f t="shared" si="29"/>
        <v/>
      </c>
      <c r="M466" s="12" t="str">
        <f>IF(COUNTIF(Receipts!$B$5:$B$510,A466)=0,"",IFERROR(LOOKUP(2,1/(Receipts!$B$5:$B$510=A466),Receipts!$C$5:$C$510),""))</f>
        <v/>
      </c>
      <c r="N466" s="6" t="str">
        <f t="shared" ca="1" si="30"/>
        <v/>
      </c>
      <c r="O466" s="11" t="str">
        <f t="shared" ca="1" si="31"/>
        <v/>
      </c>
      <c r="P466" s="5"/>
    </row>
    <row r="467" spans="1:16" x14ac:dyDescent="0.25">
      <c r="A467" s="5"/>
      <c r="B467" s="5"/>
      <c r="C467" s="6" t="str">
        <f>IFERROR(INDEX(Suppliers!$B$5:$B$104,MATCH(B467,Suppliers!$A$5:$A$104,0)),"")</f>
        <v/>
      </c>
      <c r="D467" s="5"/>
      <c r="E467" s="5"/>
      <c r="F467" s="7"/>
      <c r="G467" s="7"/>
      <c r="H467" s="8"/>
      <c r="I467" s="9"/>
      <c r="J467" s="10" t="str">
        <f t="shared" si="28"/>
        <v/>
      </c>
      <c r="K467" s="11" t="str">
        <f>IF(A467="","",SUMIF(Receipts!$B$5:$B$510,A467,Receipts!$D$5:$D$510))</f>
        <v/>
      </c>
      <c r="L467" s="11" t="str">
        <f t="shared" si="29"/>
        <v/>
      </c>
      <c r="M467" s="12" t="str">
        <f>IF(COUNTIF(Receipts!$B$5:$B$510,A467)=0,"",IFERROR(LOOKUP(2,1/(Receipts!$B$5:$B$510=A467),Receipts!$C$5:$C$510),""))</f>
        <v/>
      </c>
      <c r="N467" s="6" t="str">
        <f t="shared" ca="1" si="30"/>
        <v/>
      </c>
      <c r="O467" s="11" t="str">
        <f t="shared" ca="1" si="31"/>
        <v/>
      </c>
      <c r="P467" s="5"/>
    </row>
    <row r="468" spans="1:16" x14ac:dyDescent="0.25">
      <c r="A468" s="5"/>
      <c r="B468" s="5"/>
      <c r="C468" s="6" t="str">
        <f>IFERROR(INDEX(Suppliers!$B$5:$B$104,MATCH(B468,Suppliers!$A$5:$A$104,0)),"")</f>
        <v/>
      </c>
      <c r="D468" s="5"/>
      <c r="E468" s="5"/>
      <c r="F468" s="7"/>
      <c r="G468" s="7"/>
      <c r="H468" s="8"/>
      <c r="I468" s="9"/>
      <c r="J468" s="10" t="str">
        <f t="shared" si="28"/>
        <v/>
      </c>
      <c r="K468" s="11" t="str">
        <f>IF(A468="","",SUMIF(Receipts!$B$5:$B$510,A468,Receipts!$D$5:$D$510))</f>
        <v/>
      </c>
      <c r="L468" s="11" t="str">
        <f t="shared" si="29"/>
        <v/>
      </c>
      <c r="M468" s="12" t="str">
        <f>IF(COUNTIF(Receipts!$B$5:$B$510,A468)=0,"",IFERROR(LOOKUP(2,1/(Receipts!$B$5:$B$510=A468),Receipts!$C$5:$C$510),""))</f>
        <v/>
      </c>
      <c r="N468" s="6" t="str">
        <f t="shared" ca="1" si="30"/>
        <v/>
      </c>
      <c r="O468" s="11" t="str">
        <f t="shared" ca="1" si="31"/>
        <v/>
      </c>
      <c r="P468" s="5"/>
    </row>
    <row r="469" spans="1:16" x14ac:dyDescent="0.25">
      <c r="A469" s="5"/>
      <c r="B469" s="5"/>
      <c r="C469" s="6" t="str">
        <f>IFERROR(INDEX(Suppliers!$B$5:$B$104,MATCH(B469,Suppliers!$A$5:$A$104,0)),"")</f>
        <v/>
      </c>
      <c r="D469" s="5"/>
      <c r="E469" s="5"/>
      <c r="F469" s="7"/>
      <c r="G469" s="7"/>
      <c r="H469" s="8"/>
      <c r="I469" s="9"/>
      <c r="J469" s="10" t="str">
        <f t="shared" si="28"/>
        <v/>
      </c>
      <c r="K469" s="11" t="str">
        <f>IF(A469="","",SUMIF(Receipts!$B$5:$B$510,A469,Receipts!$D$5:$D$510))</f>
        <v/>
      </c>
      <c r="L469" s="11" t="str">
        <f t="shared" si="29"/>
        <v/>
      </c>
      <c r="M469" s="12" t="str">
        <f>IF(COUNTIF(Receipts!$B$5:$B$510,A469)=0,"",IFERROR(LOOKUP(2,1/(Receipts!$B$5:$B$510=A469),Receipts!$C$5:$C$510),""))</f>
        <v/>
      </c>
      <c r="N469" s="6" t="str">
        <f t="shared" ca="1" si="30"/>
        <v/>
      </c>
      <c r="O469" s="11" t="str">
        <f t="shared" ca="1" si="31"/>
        <v/>
      </c>
      <c r="P469" s="5"/>
    </row>
    <row r="470" spans="1:16" x14ac:dyDescent="0.25">
      <c r="A470" s="5"/>
      <c r="B470" s="5"/>
      <c r="C470" s="6" t="str">
        <f>IFERROR(INDEX(Suppliers!$B$5:$B$104,MATCH(B470,Suppliers!$A$5:$A$104,0)),"")</f>
        <v/>
      </c>
      <c r="D470" s="5"/>
      <c r="E470" s="5"/>
      <c r="F470" s="7"/>
      <c r="G470" s="7"/>
      <c r="H470" s="8"/>
      <c r="I470" s="9"/>
      <c r="J470" s="10" t="str">
        <f t="shared" si="28"/>
        <v/>
      </c>
      <c r="K470" s="11" t="str">
        <f>IF(A470="","",SUMIF(Receipts!$B$5:$B$510,A470,Receipts!$D$5:$D$510))</f>
        <v/>
      </c>
      <c r="L470" s="11" t="str">
        <f t="shared" si="29"/>
        <v/>
      </c>
      <c r="M470" s="12" t="str">
        <f>IF(COUNTIF(Receipts!$B$5:$B$510,A470)=0,"",IFERROR(LOOKUP(2,1/(Receipts!$B$5:$B$510=A470),Receipts!$C$5:$C$510),""))</f>
        <v/>
      </c>
      <c r="N470" s="6" t="str">
        <f t="shared" ca="1" si="30"/>
        <v/>
      </c>
      <c r="O470" s="11" t="str">
        <f t="shared" ca="1" si="31"/>
        <v/>
      </c>
      <c r="P470" s="5"/>
    </row>
    <row r="471" spans="1:16" x14ac:dyDescent="0.25">
      <c r="A471" s="5"/>
      <c r="B471" s="5"/>
      <c r="C471" s="6" t="str">
        <f>IFERROR(INDEX(Suppliers!$B$5:$B$104,MATCH(B471,Suppliers!$A$5:$A$104,0)),"")</f>
        <v/>
      </c>
      <c r="D471" s="5"/>
      <c r="E471" s="5"/>
      <c r="F471" s="7"/>
      <c r="G471" s="7"/>
      <c r="H471" s="8"/>
      <c r="I471" s="9"/>
      <c r="J471" s="10" t="str">
        <f t="shared" si="28"/>
        <v/>
      </c>
      <c r="K471" s="11" t="str">
        <f>IF(A471="","",SUMIF(Receipts!$B$5:$B$510,A471,Receipts!$D$5:$D$510))</f>
        <v/>
      </c>
      <c r="L471" s="11" t="str">
        <f t="shared" si="29"/>
        <v/>
      </c>
      <c r="M471" s="12" t="str">
        <f>IF(COUNTIF(Receipts!$B$5:$B$510,A471)=0,"",IFERROR(LOOKUP(2,1/(Receipts!$B$5:$B$510=A471),Receipts!$C$5:$C$510),""))</f>
        <v/>
      </c>
      <c r="N471" s="6" t="str">
        <f t="shared" ca="1" si="30"/>
        <v/>
      </c>
      <c r="O471" s="11" t="str">
        <f t="shared" ca="1" si="31"/>
        <v/>
      </c>
      <c r="P471" s="5"/>
    </row>
    <row r="472" spans="1:16" x14ac:dyDescent="0.25">
      <c r="A472" s="5"/>
      <c r="B472" s="5"/>
      <c r="C472" s="6" t="str">
        <f>IFERROR(INDEX(Suppliers!$B$5:$B$104,MATCH(B472,Suppliers!$A$5:$A$104,0)),"")</f>
        <v/>
      </c>
      <c r="D472" s="5"/>
      <c r="E472" s="5"/>
      <c r="F472" s="7"/>
      <c r="G472" s="7"/>
      <c r="H472" s="8"/>
      <c r="I472" s="9"/>
      <c r="J472" s="10" t="str">
        <f t="shared" si="28"/>
        <v/>
      </c>
      <c r="K472" s="11" t="str">
        <f>IF(A472="","",SUMIF(Receipts!$B$5:$B$510,A472,Receipts!$D$5:$D$510))</f>
        <v/>
      </c>
      <c r="L472" s="11" t="str">
        <f t="shared" si="29"/>
        <v/>
      </c>
      <c r="M472" s="12" t="str">
        <f>IF(COUNTIF(Receipts!$B$5:$B$510,A472)=0,"",IFERROR(LOOKUP(2,1/(Receipts!$B$5:$B$510=A472),Receipts!$C$5:$C$510),""))</f>
        <v/>
      </c>
      <c r="N472" s="6" t="str">
        <f t="shared" ca="1" si="30"/>
        <v/>
      </c>
      <c r="O472" s="11" t="str">
        <f t="shared" ca="1" si="31"/>
        <v/>
      </c>
      <c r="P472" s="5"/>
    </row>
    <row r="473" spans="1:16" x14ac:dyDescent="0.25">
      <c r="A473" s="5"/>
      <c r="B473" s="5"/>
      <c r="C473" s="6" t="str">
        <f>IFERROR(INDEX(Suppliers!$B$5:$B$104,MATCH(B473,Suppliers!$A$5:$A$104,0)),"")</f>
        <v/>
      </c>
      <c r="D473" s="5"/>
      <c r="E473" s="5"/>
      <c r="F473" s="7"/>
      <c r="G473" s="7"/>
      <c r="H473" s="8"/>
      <c r="I473" s="9"/>
      <c r="J473" s="10" t="str">
        <f t="shared" si="28"/>
        <v/>
      </c>
      <c r="K473" s="11" t="str">
        <f>IF(A473="","",SUMIF(Receipts!$B$5:$B$510,A473,Receipts!$D$5:$D$510))</f>
        <v/>
      </c>
      <c r="L473" s="11" t="str">
        <f t="shared" si="29"/>
        <v/>
      </c>
      <c r="M473" s="12" t="str">
        <f>IF(COUNTIF(Receipts!$B$5:$B$510,A473)=0,"",IFERROR(LOOKUP(2,1/(Receipts!$B$5:$B$510=A473),Receipts!$C$5:$C$510),""))</f>
        <v/>
      </c>
      <c r="N473" s="6" t="str">
        <f t="shared" ca="1" si="30"/>
        <v/>
      </c>
      <c r="O473" s="11" t="str">
        <f t="shared" ca="1" si="31"/>
        <v/>
      </c>
      <c r="P473" s="5"/>
    </row>
    <row r="474" spans="1:16" x14ac:dyDescent="0.25">
      <c r="A474" s="5"/>
      <c r="B474" s="5"/>
      <c r="C474" s="6" t="str">
        <f>IFERROR(INDEX(Suppliers!$B$5:$B$104,MATCH(B474,Suppliers!$A$5:$A$104,0)),"")</f>
        <v/>
      </c>
      <c r="D474" s="5"/>
      <c r="E474" s="5"/>
      <c r="F474" s="7"/>
      <c r="G474" s="7"/>
      <c r="H474" s="8"/>
      <c r="I474" s="9"/>
      <c r="J474" s="10" t="str">
        <f t="shared" si="28"/>
        <v/>
      </c>
      <c r="K474" s="11" t="str">
        <f>IF(A474="","",SUMIF(Receipts!$B$5:$B$510,A474,Receipts!$D$5:$D$510))</f>
        <v/>
      </c>
      <c r="L474" s="11" t="str">
        <f t="shared" si="29"/>
        <v/>
      </c>
      <c r="M474" s="12" t="str">
        <f>IF(COUNTIF(Receipts!$B$5:$B$510,A474)=0,"",IFERROR(LOOKUP(2,1/(Receipts!$B$5:$B$510=A474),Receipts!$C$5:$C$510),""))</f>
        <v/>
      </c>
      <c r="N474" s="6" t="str">
        <f t="shared" ca="1" si="30"/>
        <v/>
      </c>
      <c r="O474" s="11" t="str">
        <f t="shared" ca="1" si="31"/>
        <v/>
      </c>
      <c r="P474" s="5"/>
    </row>
    <row r="475" spans="1:16" x14ac:dyDescent="0.25">
      <c r="A475" s="5"/>
      <c r="B475" s="5"/>
      <c r="C475" s="6" t="str">
        <f>IFERROR(INDEX(Suppliers!$B$5:$B$104,MATCH(B475,Suppliers!$A$5:$A$104,0)),"")</f>
        <v/>
      </c>
      <c r="D475" s="5"/>
      <c r="E475" s="5"/>
      <c r="F475" s="7"/>
      <c r="G475" s="7"/>
      <c r="H475" s="8"/>
      <c r="I475" s="9"/>
      <c r="J475" s="10" t="str">
        <f t="shared" si="28"/>
        <v/>
      </c>
      <c r="K475" s="11" t="str">
        <f>IF(A475="","",SUMIF(Receipts!$B$5:$B$510,A475,Receipts!$D$5:$D$510))</f>
        <v/>
      </c>
      <c r="L475" s="11" t="str">
        <f t="shared" si="29"/>
        <v/>
      </c>
      <c r="M475" s="12" t="str">
        <f>IF(COUNTIF(Receipts!$B$5:$B$510,A475)=0,"",IFERROR(LOOKUP(2,1/(Receipts!$B$5:$B$510=A475),Receipts!$C$5:$C$510),""))</f>
        <v/>
      </c>
      <c r="N475" s="6" t="str">
        <f t="shared" ca="1" si="30"/>
        <v/>
      </c>
      <c r="O475" s="11" t="str">
        <f t="shared" ca="1" si="31"/>
        <v/>
      </c>
      <c r="P475" s="5"/>
    </row>
    <row r="476" spans="1:16" x14ac:dyDescent="0.25">
      <c r="A476" s="5"/>
      <c r="B476" s="5"/>
      <c r="C476" s="6" t="str">
        <f>IFERROR(INDEX(Suppliers!$B$5:$B$104,MATCH(B476,Suppliers!$A$5:$A$104,0)),"")</f>
        <v/>
      </c>
      <c r="D476" s="5"/>
      <c r="E476" s="5"/>
      <c r="F476" s="7"/>
      <c r="G476" s="7"/>
      <c r="H476" s="8"/>
      <c r="I476" s="9"/>
      <c r="J476" s="10" t="str">
        <f t="shared" si="28"/>
        <v/>
      </c>
      <c r="K476" s="11" t="str">
        <f>IF(A476="","",SUMIF(Receipts!$B$5:$B$510,A476,Receipts!$D$5:$D$510))</f>
        <v/>
      </c>
      <c r="L476" s="11" t="str">
        <f t="shared" si="29"/>
        <v/>
      </c>
      <c r="M476" s="12" t="str">
        <f>IF(COUNTIF(Receipts!$B$5:$B$510,A476)=0,"",IFERROR(LOOKUP(2,1/(Receipts!$B$5:$B$510=A476),Receipts!$C$5:$C$510),""))</f>
        <v/>
      </c>
      <c r="N476" s="6" t="str">
        <f t="shared" ca="1" si="30"/>
        <v/>
      </c>
      <c r="O476" s="11" t="str">
        <f t="shared" ca="1" si="31"/>
        <v/>
      </c>
      <c r="P476" s="5"/>
    </row>
    <row r="477" spans="1:16" x14ac:dyDescent="0.25">
      <c r="A477" s="5"/>
      <c r="B477" s="5"/>
      <c r="C477" s="6" t="str">
        <f>IFERROR(INDEX(Suppliers!$B$5:$B$104,MATCH(B477,Suppliers!$A$5:$A$104,0)),"")</f>
        <v/>
      </c>
      <c r="D477" s="5"/>
      <c r="E477" s="5"/>
      <c r="F477" s="7"/>
      <c r="G477" s="7"/>
      <c r="H477" s="8"/>
      <c r="I477" s="9"/>
      <c r="J477" s="10" t="str">
        <f t="shared" si="28"/>
        <v/>
      </c>
      <c r="K477" s="11" t="str">
        <f>IF(A477="","",SUMIF(Receipts!$B$5:$B$510,A477,Receipts!$D$5:$D$510))</f>
        <v/>
      </c>
      <c r="L477" s="11" t="str">
        <f t="shared" si="29"/>
        <v/>
      </c>
      <c r="M477" s="12" t="str">
        <f>IF(COUNTIF(Receipts!$B$5:$B$510,A477)=0,"",IFERROR(LOOKUP(2,1/(Receipts!$B$5:$B$510=A477),Receipts!$C$5:$C$510),""))</f>
        <v/>
      </c>
      <c r="N477" s="6" t="str">
        <f t="shared" ca="1" si="30"/>
        <v/>
      </c>
      <c r="O477" s="11" t="str">
        <f t="shared" ca="1" si="31"/>
        <v/>
      </c>
      <c r="P477" s="5"/>
    </row>
    <row r="478" spans="1:16" x14ac:dyDescent="0.25">
      <c r="A478" s="5"/>
      <c r="B478" s="5"/>
      <c r="C478" s="6" t="str">
        <f>IFERROR(INDEX(Suppliers!$B$5:$B$104,MATCH(B478,Suppliers!$A$5:$A$104,0)),"")</f>
        <v/>
      </c>
      <c r="D478" s="5"/>
      <c r="E478" s="5"/>
      <c r="F478" s="7"/>
      <c r="G478" s="7"/>
      <c r="H478" s="8"/>
      <c r="I478" s="9"/>
      <c r="J478" s="10" t="str">
        <f t="shared" si="28"/>
        <v/>
      </c>
      <c r="K478" s="11" t="str">
        <f>IF(A478="","",SUMIF(Receipts!$B$5:$B$510,A478,Receipts!$D$5:$D$510))</f>
        <v/>
      </c>
      <c r="L478" s="11" t="str">
        <f t="shared" si="29"/>
        <v/>
      </c>
      <c r="M478" s="12" t="str">
        <f>IF(COUNTIF(Receipts!$B$5:$B$510,A478)=0,"",IFERROR(LOOKUP(2,1/(Receipts!$B$5:$B$510=A478),Receipts!$C$5:$C$510),""))</f>
        <v/>
      </c>
      <c r="N478" s="6" t="str">
        <f t="shared" ca="1" si="30"/>
        <v/>
      </c>
      <c r="O478" s="11" t="str">
        <f t="shared" ca="1" si="31"/>
        <v/>
      </c>
      <c r="P478" s="5"/>
    </row>
    <row r="479" spans="1:16" x14ac:dyDescent="0.25">
      <c r="A479" s="5"/>
      <c r="B479" s="5"/>
      <c r="C479" s="6" t="str">
        <f>IFERROR(INDEX(Suppliers!$B$5:$B$104,MATCH(B479,Suppliers!$A$5:$A$104,0)),"")</f>
        <v/>
      </c>
      <c r="D479" s="5"/>
      <c r="E479" s="5"/>
      <c r="F479" s="7"/>
      <c r="G479" s="7"/>
      <c r="H479" s="8"/>
      <c r="I479" s="9"/>
      <c r="J479" s="10" t="str">
        <f t="shared" si="28"/>
        <v/>
      </c>
      <c r="K479" s="11" t="str">
        <f>IF(A479="","",SUMIF(Receipts!$B$5:$B$510,A479,Receipts!$D$5:$D$510))</f>
        <v/>
      </c>
      <c r="L479" s="11" t="str">
        <f t="shared" si="29"/>
        <v/>
      </c>
      <c r="M479" s="12" t="str">
        <f>IF(COUNTIF(Receipts!$B$5:$B$510,A479)=0,"",IFERROR(LOOKUP(2,1/(Receipts!$B$5:$B$510=A479),Receipts!$C$5:$C$510),""))</f>
        <v/>
      </c>
      <c r="N479" s="6" t="str">
        <f t="shared" ca="1" si="30"/>
        <v/>
      </c>
      <c r="O479" s="11" t="str">
        <f t="shared" ca="1" si="31"/>
        <v/>
      </c>
      <c r="P479" s="5"/>
    </row>
    <row r="480" spans="1:16" x14ac:dyDescent="0.25">
      <c r="A480" s="5"/>
      <c r="B480" s="5"/>
      <c r="C480" s="6" t="str">
        <f>IFERROR(INDEX(Suppliers!$B$5:$B$104,MATCH(B480,Suppliers!$A$5:$A$104,0)),"")</f>
        <v/>
      </c>
      <c r="D480" s="5"/>
      <c r="E480" s="5"/>
      <c r="F480" s="7"/>
      <c r="G480" s="7"/>
      <c r="H480" s="8"/>
      <c r="I480" s="9"/>
      <c r="J480" s="10" t="str">
        <f t="shared" si="28"/>
        <v/>
      </c>
      <c r="K480" s="11" t="str">
        <f>IF(A480="","",SUMIF(Receipts!$B$5:$B$510,A480,Receipts!$D$5:$D$510))</f>
        <v/>
      </c>
      <c r="L480" s="11" t="str">
        <f t="shared" si="29"/>
        <v/>
      </c>
      <c r="M480" s="12" t="str">
        <f>IF(COUNTIF(Receipts!$B$5:$B$510,A480)=0,"",IFERROR(LOOKUP(2,1/(Receipts!$B$5:$B$510=A480),Receipts!$C$5:$C$510),""))</f>
        <v/>
      </c>
      <c r="N480" s="6" t="str">
        <f t="shared" ca="1" si="30"/>
        <v/>
      </c>
      <c r="O480" s="11" t="str">
        <f t="shared" ca="1" si="31"/>
        <v/>
      </c>
      <c r="P480" s="5"/>
    </row>
    <row r="481" spans="1:16" x14ac:dyDescent="0.25">
      <c r="A481" s="5"/>
      <c r="B481" s="5"/>
      <c r="C481" s="6" t="str">
        <f>IFERROR(INDEX(Suppliers!$B$5:$B$104,MATCH(B481,Suppliers!$A$5:$A$104,0)),"")</f>
        <v/>
      </c>
      <c r="D481" s="5"/>
      <c r="E481" s="5"/>
      <c r="F481" s="7"/>
      <c r="G481" s="7"/>
      <c r="H481" s="8"/>
      <c r="I481" s="9"/>
      <c r="J481" s="10" t="str">
        <f t="shared" si="28"/>
        <v/>
      </c>
      <c r="K481" s="11" t="str">
        <f>IF(A481="","",SUMIF(Receipts!$B$5:$B$510,A481,Receipts!$D$5:$D$510))</f>
        <v/>
      </c>
      <c r="L481" s="11" t="str">
        <f t="shared" si="29"/>
        <v/>
      </c>
      <c r="M481" s="12" t="str">
        <f>IF(COUNTIF(Receipts!$B$5:$B$510,A481)=0,"",IFERROR(LOOKUP(2,1/(Receipts!$B$5:$B$510=A481),Receipts!$C$5:$C$510),""))</f>
        <v/>
      </c>
      <c r="N481" s="6" t="str">
        <f t="shared" ca="1" si="30"/>
        <v/>
      </c>
      <c r="O481" s="11" t="str">
        <f t="shared" ca="1" si="31"/>
        <v/>
      </c>
      <c r="P481" s="5"/>
    </row>
    <row r="482" spans="1:16" x14ac:dyDescent="0.25">
      <c r="A482" s="5"/>
      <c r="B482" s="5"/>
      <c r="C482" s="6" t="str">
        <f>IFERROR(INDEX(Suppliers!$B$5:$B$104,MATCH(B482,Suppliers!$A$5:$A$104,0)),"")</f>
        <v/>
      </c>
      <c r="D482" s="5"/>
      <c r="E482" s="5"/>
      <c r="F482" s="7"/>
      <c r="G482" s="7"/>
      <c r="H482" s="8"/>
      <c r="I482" s="9"/>
      <c r="J482" s="10" t="str">
        <f t="shared" si="28"/>
        <v/>
      </c>
      <c r="K482" s="11" t="str">
        <f>IF(A482="","",SUMIF(Receipts!$B$5:$B$510,A482,Receipts!$D$5:$D$510))</f>
        <v/>
      </c>
      <c r="L482" s="11" t="str">
        <f t="shared" si="29"/>
        <v/>
      </c>
      <c r="M482" s="12" t="str">
        <f>IF(COUNTIF(Receipts!$B$5:$B$510,A482)=0,"",IFERROR(LOOKUP(2,1/(Receipts!$B$5:$B$510=A482),Receipts!$C$5:$C$510),""))</f>
        <v/>
      </c>
      <c r="N482" s="6" t="str">
        <f t="shared" ca="1" si="30"/>
        <v/>
      </c>
      <c r="O482" s="11" t="str">
        <f t="shared" ca="1" si="31"/>
        <v/>
      </c>
      <c r="P482" s="5"/>
    </row>
    <row r="483" spans="1:16" x14ac:dyDescent="0.25">
      <c r="A483" s="5"/>
      <c r="B483" s="5"/>
      <c r="C483" s="6" t="str">
        <f>IFERROR(INDEX(Suppliers!$B$5:$B$104,MATCH(B483,Suppliers!$A$5:$A$104,0)),"")</f>
        <v/>
      </c>
      <c r="D483" s="5"/>
      <c r="E483" s="5"/>
      <c r="F483" s="7"/>
      <c r="G483" s="7"/>
      <c r="H483" s="8"/>
      <c r="I483" s="9"/>
      <c r="J483" s="10" t="str">
        <f t="shared" si="28"/>
        <v/>
      </c>
      <c r="K483" s="11" t="str">
        <f>IF(A483="","",SUMIF(Receipts!$B$5:$B$510,A483,Receipts!$D$5:$D$510))</f>
        <v/>
      </c>
      <c r="L483" s="11" t="str">
        <f t="shared" si="29"/>
        <v/>
      </c>
      <c r="M483" s="12" t="str">
        <f>IF(COUNTIF(Receipts!$B$5:$B$510,A483)=0,"",IFERROR(LOOKUP(2,1/(Receipts!$B$5:$B$510=A483),Receipts!$C$5:$C$510),""))</f>
        <v/>
      </c>
      <c r="N483" s="6" t="str">
        <f t="shared" ca="1" si="30"/>
        <v/>
      </c>
      <c r="O483" s="11" t="str">
        <f t="shared" ca="1" si="31"/>
        <v/>
      </c>
      <c r="P483" s="5"/>
    </row>
    <row r="484" spans="1:16" x14ac:dyDescent="0.25">
      <c r="A484" s="5"/>
      <c r="B484" s="5"/>
      <c r="C484" s="6" t="str">
        <f>IFERROR(INDEX(Suppliers!$B$5:$B$104,MATCH(B484,Suppliers!$A$5:$A$104,0)),"")</f>
        <v/>
      </c>
      <c r="D484" s="5"/>
      <c r="E484" s="5"/>
      <c r="F484" s="7"/>
      <c r="G484" s="7"/>
      <c r="H484" s="8"/>
      <c r="I484" s="9"/>
      <c r="J484" s="10" t="str">
        <f t="shared" si="28"/>
        <v/>
      </c>
      <c r="K484" s="11" t="str">
        <f>IF(A484="","",SUMIF(Receipts!$B$5:$B$510,A484,Receipts!$D$5:$D$510))</f>
        <v/>
      </c>
      <c r="L484" s="11" t="str">
        <f t="shared" si="29"/>
        <v/>
      </c>
      <c r="M484" s="12" t="str">
        <f>IF(COUNTIF(Receipts!$B$5:$B$510,A484)=0,"",IFERROR(LOOKUP(2,1/(Receipts!$B$5:$B$510=A484),Receipts!$C$5:$C$510),""))</f>
        <v/>
      </c>
      <c r="N484" s="6" t="str">
        <f t="shared" ca="1" si="30"/>
        <v/>
      </c>
      <c r="O484" s="11" t="str">
        <f t="shared" ca="1" si="31"/>
        <v/>
      </c>
      <c r="P484" s="5"/>
    </row>
    <row r="485" spans="1:16" x14ac:dyDescent="0.25">
      <c r="A485" s="5"/>
      <c r="B485" s="5"/>
      <c r="C485" s="6" t="str">
        <f>IFERROR(INDEX(Suppliers!$B$5:$B$104,MATCH(B485,Suppliers!$A$5:$A$104,0)),"")</f>
        <v/>
      </c>
      <c r="D485" s="5"/>
      <c r="E485" s="5"/>
      <c r="F485" s="7"/>
      <c r="G485" s="7"/>
      <c r="H485" s="8"/>
      <c r="I485" s="9"/>
      <c r="J485" s="10" t="str">
        <f t="shared" si="28"/>
        <v/>
      </c>
      <c r="K485" s="11" t="str">
        <f>IF(A485="","",SUMIF(Receipts!$B$5:$B$510,A485,Receipts!$D$5:$D$510))</f>
        <v/>
      </c>
      <c r="L485" s="11" t="str">
        <f t="shared" si="29"/>
        <v/>
      </c>
      <c r="M485" s="12" t="str">
        <f>IF(COUNTIF(Receipts!$B$5:$B$510,A485)=0,"",IFERROR(LOOKUP(2,1/(Receipts!$B$5:$B$510=A485),Receipts!$C$5:$C$510),""))</f>
        <v/>
      </c>
      <c r="N485" s="6" t="str">
        <f t="shared" ca="1" si="30"/>
        <v/>
      </c>
      <c r="O485" s="11" t="str">
        <f t="shared" ca="1" si="31"/>
        <v/>
      </c>
      <c r="P485" s="5"/>
    </row>
    <row r="486" spans="1:16" x14ac:dyDescent="0.25">
      <c r="A486" s="5"/>
      <c r="B486" s="5"/>
      <c r="C486" s="6" t="str">
        <f>IFERROR(INDEX(Suppliers!$B$5:$B$104,MATCH(B486,Suppliers!$A$5:$A$104,0)),"")</f>
        <v/>
      </c>
      <c r="D486" s="5"/>
      <c r="E486" s="5"/>
      <c r="F486" s="7"/>
      <c r="G486" s="7"/>
      <c r="H486" s="8"/>
      <c r="I486" s="9"/>
      <c r="J486" s="10" t="str">
        <f t="shared" si="28"/>
        <v/>
      </c>
      <c r="K486" s="11" t="str">
        <f>IF(A486="","",SUMIF(Receipts!$B$5:$B$510,A486,Receipts!$D$5:$D$510))</f>
        <v/>
      </c>
      <c r="L486" s="11" t="str">
        <f t="shared" si="29"/>
        <v/>
      </c>
      <c r="M486" s="12" t="str">
        <f>IF(COUNTIF(Receipts!$B$5:$B$510,A486)=0,"",IFERROR(LOOKUP(2,1/(Receipts!$B$5:$B$510=A486),Receipts!$C$5:$C$510),""))</f>
        <v/>
      </c>
      <c r="N486" s="6" t="str">
        <f t="shared" ca="1" si="30"/>
        <v/>
      </c>
      <c r="O486" s="11" t="str">
        <f t="shared" ca="1" si="31"/>
        <v/>
      </c>
      <c r="P486" s="5"/>
    </row>
    <row r="487" spans="1:16" x14ac:dyDescent="0.25">
      <c r="A487" s="5"/>
      <c r="B487" s="5"/>
      <c r="C487" s="6" t="str">
        <f>IFERROR(INDEX(Suppliers!$B$5:$B$104,MATCH(B487,Suppliers!$A$5:$A$104,0)),"")</f>
        <v/>
      </c>
      <c r="D487" s="5"/>
      <c r="E487" s="5"/>
      <c r="F487" s="7"/>
      <c r="G487" s="7"/>
      <c r="H487" s="8"/>
      <c r="I487" s="9"/>
      <c r="J487" s="10" t="str">
        <f t="shared" si="28"/>
        <v/>
      </c>
      <c r="K487" s="11" t="str">
        <f>IF(A487="","",SUMIF(Receipts!$B$5:$B$510,A487,Receipts!$D$5:$D$510))</f>
        <v/>
      </c>
      <c r="L487" s="11" t="str">
        <f t="shared" si="29"/>
        <v/>
      </c>
      <c r="M487" s="12" t="str">
        <f>IF(COUNTIF(Receipts!$B$5:$B$510,A487)=0,"",IFERROR(LOOKUP(2,1/(Receipts!$B$5:$B$510=A487),Receipts!$C$5:$C$510),""))</f>
        <v/>
      </c>
      <c r="N487" s="6" t="str">
        <f t="shared" ca="1" si="30"/>
        <v/>
      </c>
      <c r="O487" s="11" t="str">
        <f t="shared" ca="1" si="31"/>
        <v/>
      </c>
      <c r="P487" s="5"/>
    </row>
    <row r="488" spans="1:16" x14ac:dyDescent="0.25">
      <c r="A488" s="5"/>
      <c r="B488" s="5"/>
      <c r="C488" s="6" t="str">
        <f>IFERROR(INDEX(Suppliers!$B$5:$B$104,MATCH(B488,Suppliers!$A$5:$A$104,0)),"")</f>
        <v/>
      </c>
      <c r="D488" s="5"/>
      <c r="E488" s="5"/>
      <c r="F488" s="7"/>
      <c r="G488" s="7"/>
      <c r="H488" s="8"/>
      <c r="I488" s="9"/>
      <c r="J488" s="10" t="str">
        <f t="shared" si="28"/>
        <v/>
      </c>
      <c r="K488" s="11" t="str">
        <f>IF(A488="","",SUMIF(Receipts!$B$5:$B$510,A488,Receipts!$D$5:$D$510))</f>
        <v/>
      </c>
      <c r="L488" s="11" t="str">
        <f t="shared" si="29"/>
        <v/>
      </c>
      <c r="M488" s="12" t="str">
        <f>IF(COUNTIF(Receipts!$B$5:$B$510,A488)=0,"",IFERROR(LOOKUP(2,1/(Receipts!$B$5:$B$510=A488),Receipts!$C$5:$C$510),""))</f>
        <v/>
      </c>
      <c r="N488" s="6" t="str">
        <f t="shared" ca="1" si="30"/>
        <v/>
      </c>
      <c r="O488" s="11" t="str">
        <f t="shared" ca="1" si="31"/>
        <v/>
      </c>
      <c r="P488" s="5"/>
    </row>
    <row r="489" spans="1:16" x14ac:dyDescent="0.25">
      <c r="A489" s="5"/>
      <c r="B489" s="5"/>
      <c r="C489" s="6" t="str">
        <f>IFERROR(INDEX(Suppliers!$B$5:$B$104,MATCH(B489,Suppliers!$A$5:$A$104,0)),"")</f>
        <v/>
      </c>
      <c r="D489" s="5"/>
      <c r="E489" s="5"/>
      <c r="F489" s="7"/>
      <c r="G489" s="7"/>
      <c r="H489" s="8"/>
      <c r="I489" s="9"/>
      <c r="J489" s="10" t="str">
        <f t="shared" si="28"/>
        <v/>
      </c>
      <c r="K489" s="11" t="str">
        <f>IF(A489="","",SUMIF(Receipts!$B$5:$B$510,A489,Receipts!$D$5:$D$510))</f>
        <v/>
      </c>
      <c r="L489" s="11" t="str">
        <f t="shared" si="29"/>
        <v/>
      </c>
      <c r="M489" s="12" t="str">
        <f>IF(COUNTIF(Receipts!$B$5:$B$510,A489)=0,"",IFERROR(LOOKUP(2,1/(Receipts!$B$5:$B$510=A489),Receipts!$C$5:$C$510),""))</f>
        <v/>
      </c>
      <c r="N489" s="6" t="str">
        <f t="shared" ca="1" si="30"/>
        <v/>
      </c>
      <c r="O489" s="11" t="str">
        <f t="shared" ca="1" si="31"/>
        <v/>
      </c>
      <c r="P489" s="5"/>
    </row>
    <row r="490" spans="1:16" x14ac:dyDescent="0.25">
      <c r="A490" s="5"/>
      <c r="B490" s="5"/>
      <c r="C490" s="6" t="str">
        <f>IFERROR(INDEX(Suppliers!$B$5:$B$104,MATCH(B490,Suppliers!$A$5:$A$104,0)),"")</f>
        <v/>
      </c>
      <c r="D490" s="5"/>
      <c r="E490" s="5"/>
      <c r="F490" s="7"/>
      <c r="G490" s="7"/>
      <c r="H490" s="8"/>
      <c r="I490" s="9"/>
      <c r="J490" s="10" t="str">
        <f t="shared" si="28"/>
        <v/>
      </c>
      <c r="K490" s="11" t="str">
        <f>IF(A490="","",SUMIF(Receipts!$B$5:$B$510,A490,Receipts!$D$5:$D$510))</f>
        <v/>
      </c>
      <c r="L490" s="11" t="str">
        <f t="shared" si="29"/>
        <v/>
      </c>
      <c r="M490" s="12" t="str">
        <f>IF(COUNTIF(Receipts!$B$5:$B$510,A490)=0,"",IFERROR(LOOKUP(2,1/(Receipts!$B$5:$B$510=A490),Receipts!$C$5:$C$510),""))</f>
        <v/>
      </c>
      <c r="N490" s="6" t="str">
        <f t="shared" ca="1" si="30"/>
        <v/>
      </c>
      <c r="O490" s="11" t="str">
        <f t="shared" ca="1" si="31"/>
        <v/>
      </c>
      <c r="P490" s="5"/>
    </row>
    <row r="491" spans="1:16" x14ac:dyDescent="0.25">
      <c r="A491" s="5"/>
      <c r="B491" s="5"/>
      <c r="C491" s="6" t="str">
        <f>IFERROR(INDEX(Suppliers!$B$5:$B$104,MATCH(B491,Suppliers!$A$5:$A$104,0)),"")</f>
        <v/>
      </c>
      <c r="D491" s="5"/>
      <c r="E491" s="5"/>
      <c r="F491" s="7"/>
      <c r="G491" s="7"/>
      <c r="H491" s="8"/>
      <c r="I491" s="9"/>
      <c r="J491" s="10" t="str">
        <f t="shared" si="28"/>
        <v/>
      </c>
      <c r="K491" s="11" t="str">
        <f>IF(A491="","",SUMIF(Receipts!$B$5:$B$510,A491,Receipts!$D$5:$D$510))</f>
        <v/>
      </c>
      <c r="L491" s="11" t="str">
        <f t="shared" si="29"/>
        <v/>
      </c>
      <c r="M491" s="12" t="str">
        <f>IF(COUNTIF(Receipts!$B$5:$B$510,A491)=0,"",IFERROR(LOOKUP(2,1/(Receipts!$B$5:$B$510=A491),Receipts!$C$5:$C$510),""))</f>
        <v/>
      </c>
      <c r="N491" s="6" t="str">
        <f t="shared" ca="1" si="30"/>
        <v/>
      </c>
      <c r="O491" s="11" t="str">
        <f t="shared" ca="1" si="31"/>
        <v/>
      </c>
      <c r="P491" s="5"/>
    </row>
    <row r="492" spans="1:16" x14ac:dyDescent="0.25">
      <c r="A492" s="5"/>
      <c r="B492" s="5"/>
      <c r="C492" s="6" t="str">
        <f>IFERROR(INDEX(Suppliers!$B$5:$B$104,MATCH(B492,Suppliers!$A$5:$A$104,0)),"")</f>
        <v/>
      </c>
      <c r="D492" s="5"/>
      <c r="E492" s="5"/>
      <c r="F492" s="7"/>
      <c r="G492" s="7"/>
      <c r="H492" s="8"/>
      <c r="I492" s="9"/>
      <c r="J492" s="10" t="str">
        <f t="shared" si="28"/>
        <v/>
      </c>
      <c r="K492" s="11" t="str">
        <f>IF(A492="","",SUMIF(Receipts!$B$5:$B$510,A492,Receipts!$D$5:$D$510))</f>
        <v/>
      </c>
      <c r="L492" s="11" t="str">
        <f t="shared" si="29"/>
        <v/>
      </c>
      <c r="M492" s="12" t="str">
        <f>IF(COUNTIF(Receipts!$B$5:$B$510,A492)=0,"",IFERROR(LOOKUP(2,1/(Receipts!$B$5:$B$510=A492),Receipts!$C$5:$C$510),""))</f>
        <v/>
      </c>
      <c r="N492" s="6" t="str">
        <f t="shared" ca="1" si="30"/>
        <v/>
      </c>
      <c r="O492" s="11" t="str">
        <f t="shared" ca="1" si="31"/>
        <v/>
      </c>
      <c r="P492" s="5"/>
    </row>
    <row r="493" spans="1:16" x14ac:dyDescent="0.25">
      <c r="A493" s="5"/>
      <c r="B493" s="5"/>
      <c r="C493" s="6" t="str">
        <f>IFERROR(INDEX(Suppliers!$B$5:$B$104,MATCH(B493,Suppliers!$A$5:$A$104,0)),"")</f>
        <v/>
      </c>
      <c r="D493" s="5"/>
      <c r="E493" s="5"/>
      <c r="F493" s="7"/>
      <c r="G493" s="7"/>
      <c r="H493" s="8"/>
      <c r="I493" s="9"/>
      <c r="J493" s="10" t="str">
        <f t="shared" si="28"/>
        <v/>
      </c>
      <c r="K493" s="11" t="str">
        <f>IF(A493="","",SUMIF(Receipts!$B$5:$B$510,A493,Receipts!$D$5:$D$510))</f>
        <v/>
      </c>
      <c r="L493" s="11" t="str">
        <f t="shared" si="29"/>
        <v/>
      </c>
      <c r="M493" s="12" t="str">
        <f>IF(COUNTIF(Receipts!$B$5:$B$510,A493)=0,"",IFERROR(LOOKUP(2,1/(Receipts!$B$5:$B$510=A493),Receipts!$C$5:$C$510),""))</f>
        <v/>
      </c>
      <c r="N493" s="6" t="str">
        <f t="shared" ca="1" si="30"/>
        <v/>
      </c>
      <c r="O493" s="11" t="str">
        <f t="shared" ca="1" si="31"/>
        <v/>
      </c>
      <c r="P493" s="5"/>
    </row>
    <row r="494" spans="1:16" x14ac:dyDescent="0.25">
      <c r="A494" s="5"/>
      <c r="B494" s="5"/>
      <c r="C494" s="6" t="str">
        <f>IFERROR(INDEX(Suppliers!$B$5:$B$104,MATCH(B494,Suppliers!$A$5:$A$104,0)),"")</f>
        <v/>
      </c>
      <c r="D494" s="5"/>
      <c r="E494" s="5"/>
      <c r="F494" s="7"/>
      <c r="G494" s="7"/>
      <c r="H494" s="8"/>
      <c r="I494" s="9"/>
      <c r="J494" s="10" t="str">
        <f t="shared" si="28"/>
        <v/>
      </c>
      <c r="K494" s="11" t="str">
        <f>IF(A494="","",SUMIF(Receipts!$B$5:$B$510,A494,Receipts!$D$5:$D$510))</f>
        <v/>
      </c>
      <c r="L494" s="11" t="str">
        <f t="shared" si="29"/>
        <v/>
      </c>
      <c r="M494" s="12" t="str">
        <f>IF(COUNTIF(Receipts!$B$5:$B$510,A494)=0,"",IFERROR(LOOKUP(2,1/(Receipts!$B$5:$B$510=A494),Receipts!$C$5:$C$510),""))</f>
        <v/>
      </c>
      <c r="N494" s="6" t="str">
        <f t="shared" ca="1" si="30"/>
        <v/>
      </c>
      <c r="O494" s="11" t="str">
        <f t="shared" ca="1" si="31"/>
        <v/>
      </c>
      <c r="P494" s="5"/>
    </row>
    <row r="495" spans="1:16" x14ac:dyDescent="0.25">
      <c r="A495" s="5"/>
      <c r="B495" s="5"/>
      <c r="C495" s="6" t="str">
        <f>IFERROR(INDEX(Suppliers!$B$5:$B$104,MATCH(B495,Suppliers!$A$5:$A$104,0)),"")</f>
        <v/>
      </c>
      <c r="D495" s="5"/>
      <c r="E495" s="5"/>
      <c r="F495" s="7"/>
      <c r="G495" s="7"/>
      <c r="H495" s="8"/>
      <c r="I495" s="9"/>
      <c r="J495" s="10" t="str">
        <f t="shared" si="28"/>
        <v/>
      </c>
      <c r="K495" s="11" t="str">
        <f>IF(A495="","",SUMIF(Receipts!$B$5:$B$510,A495,Receipts!$D$5:$D$510))</f>
        <v/>
      </c>
      <c r="L495" s="11" t="str">
        <f t="shared" si="29"/>
        <v/>
      </c>
      <c r="M495" s="12" t="str">
        <f>IF(COUNTIF(Receipts!$B$5:$B$510,A495)=0,"",IFERROR(LOOKUP(2,1/(Receipts!$B$5:$B$510=A495),Receipts!$C$5:$C$510),""))</f>
        <v/>
      </c>
      <c r="N495" s="6" t="str">
        <f t="shared" ca="1" si="30"/>
        <v/>
      </c>
      <c r="O495" s="11" t="str">
        <f t="shared" ca="1" si="31"/>
        <v/>
      </c>
      <c r="P495" s="5"/>
    </row>
    <row r="496" spans="1:16" x14ac:dyDescent="0.25">
      <c r="A496" s="5"/>
      <c r="B496" s="5"/>
      <c r="C496" s="6" t="str">
        <f>IFERROR(INDEX(Suppliers!$B$5:$B$104,MATCH(B496,Suppliers!$A$5:$A$104,0)),"")</f>
        <v/>
      </c>
      <c r="D496" s="5"/>
      <c r="E496" s="5"/>
      <c r="F496" s="7"/>
      <c r="G496" s="7"/>
      <c r="H496" s="8"/>
      <c r="I496" s="9"/>
      <c r="J496" s="10" t="str">
        <f t="shared" si="28"/>
        <v/>
      </c>
      <c r="K496" s="11" t="str">
        <f>IF(A496="","",SUMIF(Receipts!$B$5:$B$510,A496,Receipts!$D$5:$D$510))</f>
        <v/>
      </c>
      <c r="L496" s="11" t="str">
        <f t="shared" si="29"/>
        <v/>
      </c>
      <c r="M496" s="12" t="str">
        <f>IF(COUNTIF(Receipts!$B$5:$B$510,A496)=0,"",IFERROR(LOOKUP(2,1/(Receipts!$B$5:$B$510=A496),Receipts!$C$5:$C$510),""))</f>
        <v/>
      </c>
      <c r="N496" s="6" t="str">
        <f t="shared" ca="1" si="30"/>
        <v/>
      </c>
      <c r="O496" s="11" t="str">
        <f t="shared" ca="1" si="31"/>
        <v/>
      </c>
      <c r="P496" s="5"/>
    </row>
    <row r="497" spans="1:16" x14ac:dyDescent="0.25">
      <c r="A497" s="5"/>
      <c r="B497" s="5"/>
      <c r="C497" s="6" t="str">
        <f>IFERROR(INDEX(Suppliers!$B$5:$B$104,MATCH(B497,Suppliers!$A$5:$A$104,0)),"")</f>
        <v/>
      </c>
      <c r="D497" s="5"/>
      <c r="E497" s="5"/>
      <c r="F497" s="7"/>
      <c r="G497" s="7"/>
      <c r="H497" s="8"/>
      <c r="I497" s="9"/>
      <c r="J497" s="10" t="str">
        <f t="shared" si="28"/>
        <v/>
      </c>
      <c r="K497" s="11" t="str">
        <f>IF(A497="","",SUMIF(Receipts!$B$5:$B$510,A497,Receipts!$D$5:$D$510))</f>
        <v/>
      </c>
      <c r="L497" s="11" t="str">
        <f t="shared" si="29"/>
        <v/>
      </c>
      <c r="M497" s="12" t="str">
        <f>IF(COUNTIF(Receipts!$B$5:$B$510,A497)=0,"",IFERROR(LOOKUP(2,1/(Receipts!$B$5:$B$510=A497),Receipts!$C$5:$C$510),""))</f>
        <v/>
      </c>
      <c r="N497" s="6" t="str">
        <f t="shared" ca="1" si="30"/>
        <v/>
      </c>
      <c r="O497" s="11" t="str">
        <f t="shared" ca="1" si="31"/>
        <v/>
      </c>
      <c r="P497" s="5"/>
    </row>
    <row r="498" spans="1:16" x14ac:dyDescent="0.25">
      <c r="A498" s="5"/>
      <c r="B498" s="5"/>
      <c r="C498" s="6" t="str">
        <f>IFERROR(INDEX(Suppliers!$B$5:$B$104,MATCH(B498,Suppliers!$A$5:$A$104,0)),"")</f>
        <v/>
      </c>
      <c r="D498" s="5"/>
      <c r="E498" s="5"/>
      <c r="F498" s="7"/>
      <c r="G498" s="7"/>
      <c r="H498" s="8"/>
      <c r="I498" s="9"/>
      <c r="J498" s="10" t="str">
        <f t="shared" si="28"/>
        <v/>
      </c>
      <c r="K498" s="11" t="str">
        <f>IF(A498="","",SUMIF(Receipts!$B$5:$B$510,A498,Receipts!$D$5:$D$510))</f>
        <v/>
      </c>
      <c r="L498" s="11" t="str">
        <f t="shared" si="29"/>
        <v/>
      </c>
      <c r="M498" s="12" t="str">
        <f>IF(COUNTIF(Receipts!$B$5:$B$510,A498)=0,"",IFERROR(LOOKUP(2,1/(Receipts!$B$5:$B$510=A498),Receipts!$C$5:$C$510),""))</f>
        <v/>
      </c>
      <c r="N498" s="6" t="str">
        <f t="shared" ca="1" si="30"/>
        <v/>
      </c>
      <c r="O498" s="11" t="str">
        <f t="shared" ca="1" si="31"/>
        <v/>
      </c>
      <c r="P498" s="5"/>
    </row>
    <row r="499" spans="1:16" x14ac:dyDescent="0.25">
      <c r="A499" s="5"/>
      <c r="B499" s="5"/>
      <c r="C499" s="6" t="str">
        <f>IFERROR(INDEX(Suppliers!$B$5:$B$104,MATCH(B499,Suppliers!$A$5:$A$104,0)),"")</f>
        <v/>
      </c>
      <c r="D499" s="5"/>
      <c r="E499" s="5"/>
      <c r="F499" s="7"/>
      <c r="G499" s="7"/>
      <c r="H499" s="8"/>
      <c r="I499" s="9"/>
      <c r="J499" s="10" t="str">
        <f t="shared" si="28"/>
        <v/>
      </c>
      <c r="K499" s="11" t="str">
        <f>IF(A499="","",SUMIF(Receipts!$B$5:$B$510,A499,Receipts!$D$5:$D$510))</f>
        <v/>
      </c>
      <c r="L499" s="11" t="str">
        <f t="shared" si="29"/>
        <v/>
      </c>
      <c r="M499" s="12" t="str">
        <f>IF(COUNTIF(Receipts!$B$5:$B$510,A499)=0,"",IFERROR(LOOKUP(2,1/(Receipts!$B$5:$B$510=A499),Receipts!$C$5:$C$510),""))</f>
        <v/>
      </c>
      <c r="N499" s="6" t="str">
        <f t="shared" ca="1" si="30"/>
        <v/>
      </c>
      <c r="O499" s="11" t="str">
        <f t="shared" ca="1" si="31"/>
        <v/>
      </c>
      <c r="P499" s="5"/>
    </row>
    <row r="500" spans="1:16" x14ac:dyDescent="0.25">
      <c r="A500" s="5"/>
      <c r="B500" s="5"/>
      <c r="C500" s="6" t="str">
        <f>IFERROR(INDEX(Suppliers!$B$5:$B$104,MATCH(B500,Suppliers!$A$5:$A$104,0)),"")</f>
        <v/>
      </c>
      <c r="D500" s="5"/>
      <c r="E500" s="5"/>
      <c r="F500" s="7"/>
      <c r="G500" s="7"/>
      <c r="H500" s="8"/>
      <c r="I500" s="9"/>
      <c r="J500" s="10" t="str">
        <f t="shared" si="28"/>
        <v/>
      </c>
      <c r="K500" s="11" t="str">
        <f>IF(A500="","",SUMIF(Receipts!$B$5:$B$510,A500,Receipts!$D$5:$D$510))</f>
        <v/>
      </c>
      <c r="L500" s="11" t="str">
        <f t="shared" si="29"/>
        <v/>
      </c>
      <c r="M500" s="12" t="str">
        <f>IF(COUNTIF(Receipts!$B$5:$B$510,A500)=0,"",IFERROR(LOOKUP(2,1/(Receipts!$B$5:$B$510=A500),Receipts!$C$5:$C$510),""))</f>
        <v/>
      </c>
      <c r="N500" s="6" t="str">
        <f t="shared" ca="1" si="30"/>
        <v/>
      </c>
      <c r="O500" s="11" t="str">
        <f t="shared" ca="1" si="31"/>
        <v/>
      </c>
      <c r="P500" s="5"/>
    </row>
    <row r="501" spans="1:16" x14ac:dyDescent="0.25">
      <c r="A501" s="5"/>
      <c r="B501" s="5"/>
      <c r="C501" s="6" t="str">
        <f>IFERROR(INDEX(Suppliers!$B$5:$B$104,MATCH(B501,Suppliers!$A$5:$A$104,0)),"")</f>
        <v/>
      </c>
      <c r="D501" s="5"/>
      <c r="E501" s="5"/>
      <c r="F501" s="7"/>
      <c r="G501" s="7"/>
      <c r="H501" s="8"/>
      <c r="I501" s="9"/>
      <c r="J501" s="10" t="str">
        <f t="shared" si="28"/>
        <v/>
      </c>
      <c r="K501" s="11" t="str">
        <f>IF(A501="","",SUMIF(Receipts!$B$5:$B$510,A501,Receipts!$D$5:$D$510))</f>
        <v/>
      </c>
      <c r="L501" s="11" t="str">
        <f t="shared" si="29"/>
        <v/>
      </c>
      <c r="M501" s="12" t="str">
        <f>IF(COUNTIF(Receipts!$B$5:$B$510,A501)=0,"",IFERROR(LOOKUP(2,1/(Receipts!$B$5:$B$510=A501),Receipts!$C$5:$C$510),""))</f>
        <v/>
      </c>
      <c r="N501" s="6" t="str">
        <f t="shared" ca="1" si="30"/>
        <v/>
      </c>
      <c r="O501" s="11" t="str">
        <f t="shared" ca="1" si="31"/>
        <v/>
      </c>
      <c r="P501" s="5"/>
    </row>
    <row r="502" spans="1:16" x14ac:dyDescent="0.25">
      <c r="A502" s="5"/>
      <c r="B502" s="5"/>
      <c r="C502" s="6" t="str">
        <f>IFERROR(INDEX(Suppliers!$B$5:$B$104,MATCH(B502,Suppliers!$A$5:$A$104,0)),"")</f>
        <v/>
      </c>
      <c r="D502" s="5"/>
      <c r="E502" s="5"/>
      <c r="F502" s="7"/>
      <c r="G502" s="7"/>
      <c r="H502" s="8"/>
      <c r="I502" s="9"/>
      <c r="J502" s="10" t="str">
        <f t="shared" si="28"/>
        <v/>
      </c>
      <c r="K502" s="11" t="str">
        <f>IF(A502="","",SUMIF(Receipts!$B$5:$B$510,A502,Receipts!$D$5:$D$510))</f>
        <v/>
      </c>
      <c r="L502" s="11" t="str">
        <f t="shared" si="29"/>
        <v/>
      </c>
      <c r="M502" s="12" t="str">
        <f>IF(COUNTIF(Receipts!$B$5:$B$510,A502)=0,"",IFERROR(LOOKUP(2,1/(Receipts!$B$5:$B$510=A502),Receipts!$C$5:$C$510),""))</f>
        <v/>
      </c>
      <c r="N502" s="6" t="str">
        <f t="shared" ca="1" si="30"/>
        <v/>
      </c>
      <c r="O502" s="11" t="str">
        <f t="shared" ca="1" si="31"/>
        <v/>
      </c>
      <c r="P502" s="5"/>
    </row>
    <row r="503" spans="1:16" x14ac:dyDescent="0.25">
      <c r="A503" s="5"/>
      <c r="B503" s="5"/>
      <c r="C503" s="6" t="str">
        <f>IFERROR(INDEX(Suppliers!$B$5:$B$104,MATCH(B503,Suppliers!$A$5:$A$104,0)),"")</f>
        <v/>
      </c>
      <c r="D503" s="5"/>
      <c r="E503" s="5"/>
      <c r="F503" s="7"/>
      <c r="G503" s="7"/>
      <c r="H503" s="8"/>
      <c r="I503" s="9"/>
      <c r="J503" s="10" t="str">
        <f t="shared" si="28"/>
        <v/>
      </c>
      <c r="K503" s="11" t="str">
        <f>IF(A503="","",SUMIF(Receipts!$B$5:$B$510,A503,Receipts!$D$5:$D$510))</f>
        <v/>
      </c>
      <c r="L503" s="11" t="str">
        <f t="shared" si="29"/>
        <v/>
      </c>
      <c r="M503" s="12" t="str">
        <f>IF(COUNTIF(Receipts!$B$5:$B$510,A503)=0,"",IFERROR(LOOKUP(2,1/(Receipts!$B$5:$B$510=A503),Receipts!$C$5:$C$510),""))</f>
        <v/>
      </c>
      <c r="N503" s="6" t="str">
        <f t="shared" ca="1" si="30"/>
        <v/>
      </c>
      <c r="O503" s="11" t="str">
        <f t="shared" ca="1" si="31"/>
        <v/>
      </c>
      <c r="P503" s="5"/>
    </row>
    <row r="504" spans="1:16" x14ac:dyDescent="0.25">
      <c r="A504" s="5"/>
      <c r="B504" s="5"/>
      <c r="C504" s="6" t="str">
        <f>IFERROR(INDEX(Suppliers!$B$5:$B$104,MATCH(B504,Suppliers!$A$5:$A$104,0)),"")</f>
        <v/>
      </c>
      <c r="D504" s="5"/>
      <c r="E504" s="5"/>
      <c r="F504" s="7"/>
      <c r="G504" s="7"/>
      <c r="H504" s="8"/>
      <c r="I504" s="9"/>
      <c r="J504" s="10" t="str">
        <f t="shared" si="28"/>
        <v/>
      </c>
      <c r="K504" s="11" t="str">
        <f>IF(A504="","",SUMIF(Receipts!$B$5:$B$510,A504,Receipts!$D$5:$D$510))</f>
        <v/>
      </c>
      <c r="L504" s="11" t="str">
        <f t="shared" si="29"/>
        <v/>
      </c>
      <c r="M504" s="12" t="str">
        <f>IF(COUNTIF(Receipts!$B$5:$B$510,A504)=0,"",IFERROR(LOOKUP(2,1/(Receipts!$B$5:$B$510=A504),Receipts!$C$5:$C$510),""))</f>
        <v/>
      </c>
      <c r="N504" s="6" t="str">
        <f t="shared" ca="1" si="30"/>
        <v/>
      </c>
      <c r="O504" s="11" t="str">
        <f t="shared" ca="1" si="31"/>
        <v/>
      </c>
      <c r="P504" s="5"/>
    </row>
  </sheetData>
  <autoFilter ref="A4:P504" xr:uid="{00000000-0009-0000-0000-000001000000}"/>
  <mergeCells count="2">
    <mergeCell ref="A1:P1"/>
    <mergeCell ref="A2:P2"/>
  </mergeCells>
  <conditionalFormatting sqref="N5:N504">
    <cfRule type="expression" dxfId="6" priority="1">
      <formula>N5="Complete"</formula>
    </cfRule>
    <cfRule type="expression" dxfId="5" priority="2">
      <formula>OR(N5="Overdue",N5="Overdue - Partial")</formula>
    </cfRule>
    <cfRule type="expression" dxfId="4" priority="3">
      <formula>N5="Scheduled"</formula>
    </cfRule>
    <cfRule type="expression" dxfId="3" priority="4">
      <formula>N5="Partially Received"</formula>
    </cfRule>
    <cfRule type="expression" dxfId="2" priority="5">
      <formula>N5="Over-received"</formula>
    </cfRule>
    <cfRule type="expression" dxfId="1" priority="6">
      <formula>N5="Incomplete"</formula>
    </cfRule>
  </conditionalFormatting>
  <conditionalFormatting sqref="O5:O504">
    <cfRule type="cellIs" dxfId="0" priority="7" operator="greaterThan">
      <formula>0</formula>
    </cfRule>
  </conditionalFormatting>
  <dataValidations disablePrompts="1" count="3">
    <dataValidation type="list" allowBlank="1" sqref="E5:E504" xr:uid="{00000000-0002-0000-0100-000001000000}">
      <formula1>"Industrial supplies,Office supplies,Packaging,Safety equipment,IT components,Other"</formula1>
    </dataValidation>
    <dataValidation type="date" allowBlank="1" sqref="G5:G504 F5:F12 F14:F504" xr:uid="{00000000-0002-0000-0100-000002000000}">
      <formula1>DATE(2020,1,1)</formula1>
      <formula2>DATE(2035,12,31)</formula2>
    </dataValidation>
    <dataValidation type="decimal" operator="greaterThan" allowBlank="1" sqref="H5:I504" xr:uid="{00000000-0002-0000-0100-000004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xr:uid="{00000000-0002-0000-0100-000000000000}">
          <x14:formula1>
            <xm:f>Suppliers!$A$5:$A$104</xm:f>
          </x14:formula1>
          <xm:sqref>B5:B504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C78"/>
    <pageSetUpPr fitToPage="1"/>
  </sheetPr>
  <dimension ref="A1:F510"/>
  <sheetViews>
    <sheetView showGridLines="0" zoomScale="90" workbookViewId="0">
      <pane ySplit="4" topLeftCell="A5" activePane="bottomLeft" state="frozen"/>
      <selection pane="bottomLeft" activeCell="E28" sqref="E28"/>
    </sheetView>
  </sheetViews>
  <sheetFormatPr defaultRowHeight="15" x14ac:dyDescent="0.25"/>
  <cols>
    <col min="1" max="1" width="16" customWidth="1"/>
    <col min="2" max="2" width="20" customWidth="1"/>
    <col min="3" max="3" width="18" customWidth="1"/>
    <col min="4" max="4" width="22" customWidth="1"/>
    <col min="5" max="5" width="20" customWidth="1"/>
    <col min="6" max="6" width="38" customWidth="1"/>
  </cols>
  <sheetData>
    <row r="1" spans="1:6" ht="33.950000000000003" customHeight="1" x14ac:dyDescent="0.25">
      <c r="A1" s="16" t="s">
        <v>72</v>
      </c>
      <c r="B1" s="17"/>
      <c r="C1" s="17"/>
      <c r="D1" s="17"/>
      <c r="E1" s="17"/>
      <c r="F1" s="17"/>
    </row>
    <row r="2" spans="1:6" ht="26.1" customHeight="1" x14ac:dyDescent="0.25">
      <c r="A2" s="22" t="s">
        <v>73</v>
      </c>
      <c r="B2" s="17"/>
      <c r="C2" s="17"/>
      <c r="D2" s="17"/>
      <c r="E2" s="17"/>
      <c r="F2" s="17"/>
    </row>
    <row r="4" spans="1:6" x14ac:dyDescent="0.25">
      <c r="A4" s="1" t="s">
        <v>74</v>
      </c>
      <c r="B4" s="1" t="s">
        <v>25</v>
      </c>
      <c r="C4" s="1" t="s">
        <v>75</v>
      </c>
      <c r="D4" s="1" t="s">
        <v>76</v>
      </c>
      <c r="E4" s="1" t="s">
        <v>77</v>
      </c>
      <c r="F4" s="1" t="s">
        <v>39</v>
      </c>
    </row>
    <row r="5" spans="1:6" x14ac:dyDescent="0.25">
      <c r="A5" s="5" t="s">
        <v>78</v>
      </c>
      <c r="B5" s="5" t="s">
        <v>40</v>
      </c>
      <c r="C5" s="7">
        <v>46297</v>
      </c>
      <c r="D5" s="8">
        <v>40</v>
      </c>
      <c r="E5" s="5" t="s">
        <v>79</v>
      </c>
      <c r="F5" s="5" t="s">
        <v>80</v>
      </c>
    </row>
    <row r="6" spans="1:6" x14ac:dyDescent="0.25">
      <c r="A6" s="5" t="s">
        <v>81</v>
      </c>
      <c r="B6" s="5" t="s">
        <v>40</v>
      </c>
      <c r="C6" s="7">
        <v>46303</v>
      </c>
      <c r="D6" s="8">
        <v>60</v>
      </c>
      <c r="E6" s="5" t="s">
        <v>79</v>
      </c>
      <c r="F6" s="5" t="s">
        <v>82</v>
      </c>
    </row>
    <row r="7" spans="1:6" x14ac:dyDescent="0.25">
      <c r="A7" s="5" t="s">
        <v>83</v>
      </c>
      <c r="B7" s="5" t="s">
        <v>45</v>
      </c>
      <c r="C7" s="7">
        <v>46300</v>
      </c>
      <c r="D7" s="8">
        <v>25</v>
      </c>
      <c r="E7" s="5" t="s">
        <v>79</v>
      </c>
      <c r="F7" s="5" t="s">
        <v>84</v>
      </c>
    </row>
    <row r="8" spans="1:6" x14ac:dyDescent="0.25">
      <c r="A8" s="5" t="s">
        <v>85</v>
      </c>
      <c r="B8" s="5" t="s">
        <v>50</v>
      </c>
      <c r="C8" s="7">
        <v>46305</v>
      </c>
      <c r="D8" s="8">
        <v>100</v>
      </c>
      <c r="E8" s="5" t="s">
        <v>79</v>
      </c>
      <c r="F8" s="5" t="s">
        <v>80</v>
      </c>
    </row>
    <row r="9" spans="1:6" x14ac:dyDescent="0.25">
      <c r="A9" s="5" t="s">
        <v>86</v>
      </c>
      <c r="B9" s="5" t="s">
        <v>55</v>
      </c>
      <c r="C9" s="7">
        <v>46307</v>
      </c>
      <c r="D9" s="8">
        <v>50</v>
      </c>
      <c r="E9" s="5" t="s">
        <v>79</v>
      </c>
      <c r="F9" s="5" t="s">
        <v>84</v>
      </c>
    </row>
    <row r="10" spans="1:6" x14ac:dyDescent="0.25">
      <c r="A10" s="5" t="s">
        <v>87</v>
      </c>
      <c r="B10" s="5" t="s">
        <v>64</v>
      </c>
      <c r="C10" s="7">
        <v>46308</v>
      </c>
      <c r="D10" s="8">
        <v>20</v>
      </c>
      <c r="E10" s="5" t="s">
        <v>79</v>
      </c>
      <c r="F10" s="5" t="s">
        <v>84</v>
      </c>
    </row>
    <row r="11" spans="1:6" x14ac:dyDescent="0.25">
      <c r="A11" s="5"/>
      <c r="B11" s="5"/>
      <c r="C11" s="7"/>
      <c r="D11" s="8"/>
      <c r="E11" s="5"/>
      <c r="F11" s="5"/>
    </row>
    <row r="12" spans="1:6" x14ac:dyDescent="0.25">
      <c r="A12" s="5"/>
      <c r="B12" s="5"/>
      <c r="C12" s="7"/>
      <c r="D12" s="8"/>
      <c r="E12" s="5"/>
      <c r="F12" s="5"/>
    </row>
    <row r="13" spans="1:6" x14ac:dyDescent="0.25">
      <c r="A13" s="5"/>
      <c r="B13" s="5"/>
      <c r="C13" s="7"/>
      <c r="D13" s="8"/>
      <c r="E13" s="5"/>
      <c r="F13" s="5"/>
    </row>
    <row r="14" spans="1:6" x14ac:dyDescent="0.25">
      <c r="A14" s="5"/>
      <c r="B14" s="5"/>
      <c r="C14" s="7"/>
      <c r="D14" s="8"/>
      <c r="E14" s="5"/>
      <c r="F14" s="5"/>
    </row>
    <row r="15" spans="1:6" x14ac:dyDescent="0.25">
      <c r="A15" s="5"/>
      <c r="B15" s="5"/>
      <c r="C15" s="7"/>
      <c r="D15" s="8"/>
      <c r="E15" s="5"/>
      <c r="F15" s="5"/>
    </row>
    <row r="16" spans="1:6" x14ac:dyDescent="0.25">
      <c r="A16" s="5"/>
      <c r="B16" s="5"/>
      <c r="C16" s="7"/>
      <c r="D16" s="8"/>
      <c r="E16" s="5"/>
      <c r="F16" s="5"/>
    </row>
    <row r="17" spans="1:6" x14ac:dyDescent="0.25">
      <c r="A17" s="5"/>
      <c r="B17" s="5"/>
      <c r="C17" s="7"/>
      <c r="D17" s="8"/>
      <c r="E17" s="5"/>
      <c r="F17" s="5"/>
    </row>
    <row r="18" spans="1:6" x14ac:dyDescent="0.25">
      <c r="A18" s="5"/>
      <c r="B18" s="5"/>
      <c r="C18" s="7"/>
      <c r="D18" s="8"/>
      <c r="E18" s="5"/>
      <c r="F18" s="5"/>
    </row>
    <row r="19" spans="1:6" x14ac:dyDescent="0.25">
      <c r="A19" s="5"/>
      <c r="B19" s="5"/>
      <c r="C19" s="7"/>
      <c r="D19" s="8"/>
      <c r="E19" s="5"/>
      <c r="F19" s="5"/>
    </row>
    <row r="20" spans="1:6" x14ac:dyDescent="0.25">
      <c r="A20" s="5"/>
      <c r="B20" s="5"/>
      <c r="C20" s="7"/>
      <c r="D20" s="8"/>
      <c r="E20" s="5"/>
      <c r="F20" s="5"/>
    </row>
    <row r="21" spans="1:6" x14ac:dyDescent="0.25">
      <c r="A21" s="5"/>
      <c r="B21" s="5"/>
      <c r="C21" s="7"/>
      <c r="D21" s="8"/>
      <c r="E21" s="5"/>
      <c r="F21" s="5"/>
    </row>
    <row r="22" spans="1:6" x14ac:dyDescent="0.25">
      <c r="A22" s="5"/>
      <c r="B22" s="5"/>
      <c r="C22" s="7"/>
      <c r="D22" s="8"/>
      <c r="E22" s="5"/>
      <c r="F22" s="5"/>
    </row>
    <row r="23" spans="1:6" x14ac:dyDescent="0.25">
      <c r="A23" s="5"/>
      <c r="B23" s="5"/>
      <c r="C23" s="7"/>
      <c r="D23" s="8"/>
      <c r="E23" s="5"/>
      <c r="F23" s="5"/>
    </row>
    <row r="24" spans="1:6" x14ac:dyDescent="0.25">
      <c r="A24" s="5"/>
      <c r="B24" s="5"/>
      <c r="C24" s="7"/>
      <c r="D24" s="8"/>
      <c r="E24" s="5"/>
      <c r="F24" s="5"/>
    </row>
    <row r="25" spans="1:6" x14ac:dyDescent="0.25">
      <c r="A25" s="5"/>
      <c r="B25" s="5"/>
      <c r="C25" s="7"/>
      <c r="D25" s="8"/>
      <c r="E25" s="5"/>
      <c r="F25" s="5"/>
    </row>
    <row r="26" spans="1:6" x14ac:dyDescent="0.25">
      <c r="A26" s="5"/>
      <c r="B26" s="5"/>
      <c r="C26" s="7"/>
      <c r="D26" s="8"/>
      <c r="E26" s="5"/>
      <c r="F26" s="5"/>
    </row>
    <row r="27" spans="1:6" x14ac:dyDescent="0.25">
      <c r="A27" s="5"/>
      <c r="B27" s="5"/>
      <c r="C27" s="7"/>
      <c r="D27" s="8"/>
      <c r="E27" s="5"/>
      <c r="F27" s="5"/>
    </row>
    <row r="28" spans="1:6" x14ac:dyDescent="0.25">
      <c r="A28" s="5"/>
      <c r="B28" s="5"/>
      <c r="C28" s="7"/>
      <c r="D28" s="8"/>
      <c r="E28" s="5"/>
      <c r="F28" s="5"/>
    </row>
    <row r="29" spans="1:6" x14ac:dyDescent="0.25">
      <c r="A29" s="5"/>
      <c r="B29" s="5"/>
      <c r="C29" s="7"/>
      <c r="D29" s="8"/>
      <c r="E29" s="5"/>
      <c r="F29" s="5"/>
    </row>
    <row r="30" spans="1:6" x14ac:dyDescent="0.25">
      <c r="A30" s="5"/>
      <c r="B30" s="5"/>
      <c r="C30" s="7"/>
      <c r="D30" s="8"/>
      <c r="E30" s="5"/>
      <c r="F30" s="5"/>
    </row>
    <row r="31" spans="1:6" x14ac:dyDescent="0.25">
      <c r="A31" s="5"/>
      <c r="B31" s="5"/>
      <c r="C31" s="7"/>
      <c r="D31" s="8"/>
      <c r="E31" s="5"/>
      <c r="F31" s="5"/>
    </row>
    <row r="32" spans="1:6" x14ac:dyDescent="0.25">
      <c r="A32" s="5"/>
      <c r="B32" s="5"/>
      <c r="C32" s="7"/>
      <c r="D32" s="8"/>
      <c r="E32" s="5"/>
      <c r="F32" s="5"/>
    </row>
    <row r="33" spans="1:6" x14ac:dyDescent="0.25">
      <c r="A33" s="5"/>
      <c r="B33" s="5"/>
      <c r="C33" s="7"/>
      <c r="D33" s="8"/>
      <c r="E33" s="5"/>
      <c r="F33" s="5"/>
    </row>
    <row r="34" spans="1:6" x14ac:dyDescent="0.25">
      <c r="A34" s="5"/>
      <c r="B34" s="5"/>
      <c r="C34" s="7"/>
      <c r="D34" s="8"/>
      <c r="E34" s="5"/>
      <c r="F34" s="5"/>
    </row>
    <row r="35" spans="1:6" x14ac:dyDescent="0.25">
      <c r="A35" s="5"/>
      <c r="B35" s="5"/>
      <c r="C35" s="7"/>
      <c r="D35" s="8"/>
      <c r="E35" s="5"/>
      <c r="F35" s="5"/>
    </row>
    <row r="36" spans="1:6" x14ac:dyDescent="0.25">
      <c r="A36" s="5"/>
      <c r="B36" s="5"/>
      <c r="C36" s="7"/>
      <c r="D36" s="8"/>
      <c r="E36" s="5"/>
      <c r="F36" s="5"/>
    </row>
    <row r="37" spans="1:6" x14ac:dyDescent="0.25">
      <c r="A37" s="5"/>
      <c r="B37" s="5"/>
      <c r="C37" s="7"/>
      <c r="D37" s="8"/>
      <c r="E37" s="5"/>
      <c r="F37" s="5"/>
    </row>
    <row r="38" spans="1:6" x14ac:dyDescent="0.25">
      <c r="A38" s="5"/>
      <c r="B38" s="5"/>
      <c r="C38" s="7"/>
      <c r="D38" s="8"/>
      <c r="E38" s="5"/>
      <c r="F38" s="5"/>
    </row>
    <row r="39" spans="1:6" x14ac:dyDescent="0.25">
      <c r="A39" s="5"/>
      <c r="B39" s="5"/>
      <c r="C39" s="7"/>
      <c r="D39" s="8"/>
      <c r="E39" s="5"/>
      <c r="F39" s="5"/>
    </row>
    <row r="40" spans="1:6" x14ac:dyDescent="0.25">
      <c r="A40" s="5"/>
      <c r="B40" s="5"/>
      <c r="C40" s="7"/>
      <c r="D40" s="8"/>
      <c r="E40" s="5"/>
      <c r="F40" s="5"/>
    </row>
    <row r="41" spans="1:6" x14ac:dyDescent="0.25">
      <c r="A41" s="5"/>
      <c r="B41" s="5"/>
      <c r="C41" s="7"/>
      <c r="D41" s="8"/>
      <c r="E41" s="5"/>
      <c r="F41" s="5"/>
    </row>
    <row r="42" spans="1:6" x14ac:dyDescent="0.25">
      <c r="A42" s="5"/>
      <c r="B42" s="5"/>
      <c r="C42" s="7"/>
      <c r="D42" s="8"/>
      <c r="E42" s="5"/>
      <c r="F42" s="5"/>
    </row>
    <row r="43" spans="1:6" x14ac:dyDescent="0.25">
      <c r="A43" s="5"/>
      <c r="B43" s="5"/>
      <c r="C43" s="7"/>
      <c r="D43" s="8"/>
      <c r="E43" s="5"/>
      <c r="F43" s="5"/>
    </row>
    <row r="44" spans="1:6" x14ac:dyDescent="0.25">
      <c r="A44" s="5"/>
      <c r="B44" s="5"/>
      <c r="C44" s="7"/>
      <c r="D44" s="8"/>
      <c r="E44" s="5"/>
      <c r="F44" s="5"/>
    </row>
    <row r="45" spans="1:6" x14ac:dyDescent="0.25">
      <c r="A45" s="5"/>
      <c r="B45" s="5"/>
      <c r="C45" s="7"/>
      <c r="D45" s="8"/>
      <c r="E45" s="5"/>
      <c r="F45" s="5"/>
    </row>
    <row r="46" spans="1:6" x14ac:dyDescent="0.25">
      <c r="A46" s="5"/>
      <c r="B46" s="5"/>
      <c r="C46" s="7"/>
      <c r="D46" s="8"/>
      <c r="E46" s="5"/>
      <c r="F46" s="5"/>
    </row>
    <row r="47" spans="1:6" x14ac:dyDescent="0.25">
      <c r="A47" s="5"/>
      <c r="B47" s="5"/>
      <c r="C47" s="7"/>
      <c r="D47" s="8"/>
      <c r="E47" s="5"/>
      <c r="F47" s="5"/>
    </row>
    <row r="48" spans="1:6" x14ac:dyDescent="0.25">
      <c r="A48" s="5"/>
      <c r="B48" s="5"/>
      <c r="C48" s="7"/>
      <c r="D48" s="8"/>
      <c r="E48" s="5"/>
      <c r="F48" s="5"/>
    </row>
    <row r="49" spans="1:6" x14ac:dyDescent="0.25">
      <c r="A49" s="5"/>
      <c r="B49" s="5"/>
      <c r="C49" s="7"/>
      <c r="D49" s="8"/>
      <c r="E49" s="5"/>
      <c r="F49" s="5"/>
    </row>
    <row r="50" spans="1:6" x14ac:dyDescent="0.25">
      <c r="A50" s="5"/>
      <c r="B50" s="5"/>
      <c r="C50" s="7"/>
      <c r="D50" s="8"/>
      <c r="E50" s="5"/>
      <c r="F50" s="5"/>
    </row>
    <row r="51" spans="1:6" x14ac:dyDescent="0.25">
      <c r="A51" s="5"/>
      <c r="B51" s="5"/>
      <c r="C51" s="7"/>
      <c r="D51" s="8"/>
      <c r="E51" s="5"/>
      <c r="F51" s="5"/>
    </row>
    <row r="52" spans="1:6" x14ac:dyDescent="0.25">
      <c r="A52" s="5"/>
      <c r="B52" s="5"/>
      <c r="C52" s="7"/>
      <c r="D52" s="8"/>
      <c r="E52" s="5"/>
      <c r="F52" s="5"/>
    </row>
    <row r="53" spans="1:6" x14ac:dyDescent="0.25">
      <c r="A53" s="5"/>
      <c r="B53" s="5"/>
      <c r="C53" s="7"/>
      <c r="D53" s="8"/>
      <c r="E53" s="5"/>
      <c r="F53" s="5"/>
    </row>
    <row r="54" spans="1:6" x14ac:dyDescent="0.25">
      <c r="A54" s="5"/>
      <c r="B54" s="5"/>
      <c r="C54" s="7"/>
      <c r="D54" s="8"/>
      <c r="E54" s="5"/>
      <c r="F54" s="5"/>
    </row>
    <row r="55" spans="1:6" x14ac:dyDescent="0.25">
      <c r="A55" s="5"/>
      <c r="B55" s="5"/>
      <c r="C55" s="7"/>
      <c r="D55" s="8"/>
      <c r="E55" s="5"/>
      <c r="F55" s="5"/>
    </row>
    <row r="56" spans="1:6" x14ac:dyDescent="0.25">
      <c r="A56" s="5"/>
      <c r="B56" s="5"/>
      <c r="C56" s="7"/>
      <c r="D56" s="8"/>
      <c r="E56" s="5"/>
      <c r="F56" s="5"/>
    </row>
    <row r="57" spans="1:6" x14ac:dyDescent="0.25">
      <c r="A57" s="5"/>
      <c r="B57" s="5"/>
      <c r="C57" s="7"/>
      <c r="D57" s="8"/>
      <c r="E57" s="5"/>
      <c r="F57" s="5"/>
    </row>
    <row r="58" spans="1:6" x14ac:dyDescent="0.25">
      <c r="A58" s="5"/>
      <c r="B58" s="5"/>
      <c r="C58" s="7"/>
      <c r="D58" s="8"/>
      <c r="E58" s="5"/>
      <c r="F58" s="5"/>
    </row>
    <row r="59" spans="1:6" x14ac:dyDescent="0.25">
      <c r="A59" s="5"/>
      <c r="B59" s="5"/>
      <c r="C59" s="7"/>
      <c r="D59" s="8"/>
      <c r="E59" s="5"/>
      <c r="F59" s="5"/>
    </row>
    <row r="60" spans="1:6" x14ac:dyDescent="0.25">
      <c r="A60" s="5"/>
      <c r="B60" s="5"/>
      <c r="C60" s="7"/>
      <c r="D60" s="8"/>
      <c r="E60" s="5"/>
      <c r="F60" s="5"/>
    </row>
    <row r="61" spans="1:6" x14ac:dyDescent="0.25">
      <c r="A61" s="5"/>
      <c r="B61" s="5"/>
      <c r="C61" s="7"/>
      <c r="D61" s="8"/>
      <c r="E61" s="5"/>
      <c r="F61" s="5"/>
    </row>
    <row r="62" spans="1:6" x14ac:dyDescent="0.25">
      <c r="A62" s="5"/>
      <c r="B62" s="5"/>
      <c r="C62" s="7"/>
      <c r="D62" s="8"/>
      <c r="E62" s="5"/>
      <c r="F62" s="5"/>
    </row>
    <row r="63" spans="1:6" x14ac:dyDescent="0.25">
      <c r="A63" s="5"/>
      <c r="B63" s="5"/>
      <c r="C63" s="7"/>
      <c r="D63" s="8"/>
      <c r="E63" s="5"/>
      <c r="F63" s="5"/>
    </row>
    <row r="64" spans="1:6" x14ac:dyDescent="0.25">
      <c r="A64" s="5"/>
      <c r="B64" s="5"/>
      <c r="C64" s="7"/>
      <c r="D64" s="8"/>
      <c r="E64" s="5"/>
      <c r="F64" s="5"/>
    </row>
    <row r="65" spans="1:6" x14ac:dyDescent="0.25">
      <c r="A65" s="5"/>
      <c r="B65" s="5"/>
      <c r="C65" s="7"/>
      <c r="D65" s="8"/>
      <c r="E65" s="5"/>
      <c r="F65" s="5"/>
    </row>
    <row r="66" spans="1:6" x14ac:dyDescent="0.25">
      <c r="A66" s="5"/>
      <c r="B66" s="5"/>
      <c r="C66" s="7"/>
      <c r="D66" s="8"/>
      <c r="E66" s="5"/>
      <c r="F66" s="5"/>
    </row>
    <row r="67" spans="1:6" x14ac:dyDescent="0.25">
      <c r="A67" s="5"/>
      <c r="B67" s="5"/>
      <c r="C67" s="7"/>
      <c r="D67" s="8"/>
      <c r="E67" s="5"/>
      <c r="F67" s="5"/>
    </row>
    <row r="68" spans="1:6" x14ac:dyDescent="0.25">
      <c r="A68" s="5"/>
      <c r="B68" s="5"/>
      <c r="C68" s="7"/>
      <c r="D68" s="8"/>
      <c r="E68" s="5"/>
      <c r="F68" s="5"/>
    </row>
    <row r="69" spans="1:6" x14ac:dyDescent="0.25">
      <c r="A69" s="5"/>
      <c r="B69" s="5"/>
      <c r="C69" s="7"/>
      <c r="D69" s="8"/>
      <c r="E69" s="5"/>
      <c r="F69" s="5"/>
    </row>
    <row r="70" spans="1:6" x14ac:dyDescent="0.25">
      <c r="A70" s="5"/>
      <c r="B70" s="5"/>
      <c r="C70" s="7"/>
      <c r="D70" s="8"/>
      <c r="E70" s="5"/>
      <c r="F70" s="5"/>
    </row>
    <row r="71" spans="1:6" x14ac:dyDescent="0.25">
      <c r="A71" s="5"/>
      <c r="B71" s="5"/>
      <c r="C71" s="7"/>
      <c r="D71" s="8"/>
      <c r="E71" s="5"/>
      <c r="F71" s="5"/>
    </row>
    <row r="72" spans="1:6" x14ac:dyDescent="0.25">
      <c r="A72" s="5"/>
      <c r="B72" s="5"/>
      <c r="C72" s="7"/>
      <c r="D72" s="8"/>
      <c r="E72" s="5"/>
      <c r="F72" s="5"/>
    </row>
    <row r="73" spans="1:6" x14ac:dyDescent="0.25">
      <c r="A73" s="5"/>
      <c r="B73" s="5"/>
      <c r="C73" s="7"/>
      <c r="D73" s="8"/>
      <c r="E73" s="5"/>
      <c r="F73" s="5"/>
    </row>
    <row r="74" spans="1:6" x14ac:dyDescent="0.25">
      <c r="A74" s="5"/>
      <c r="B74" s="5"/>
      <c r="C74" s="7"/>
      <c r="D74" s="8"/>
      <c r="E74" s="5"/>
      <c r="F74" s="5"/>
    </row>
    <row r="75" spans="1:6" x14ac:dyDescent="0.25">
      <c r="A75" s="5"/>
      <c r="B75" s="5"/>
      <c r="C75" s="7"/>
      <c r="D75" s="8"/>
      <c r="E75" s="5"/>
      <c r="F75" s="5"/>
    </row>
    <row r="76" spans="1:6" x14ac:dyDescent="0.25">
      <c r="A76" s="5"/>
      <c r="B76" s="5"/>
      <c r="C76" s="7"/>
      <c r="D76" s="8"/>
      <c r="E76" s="5"/>
      <c r="F76" s="5"/>
    </row>
    <row r="77" spans="1:6" x14ac:dyDescent="0.25">
      <c r="A77" s="5"/>
      <c r="B77" s="5"/>
      <c r="C77" s="7"/>
      <c r="D77" s="8"/>
      <c r="E77" s="5"/>
      <c r="F77" s="5"/>
    </row>
    <row r="78" spans="1:6" x14ac:dyDescent="0.25">
      <c r="A78" s="5"/>
      <c r="B78" s="5"/>
      <c r="C78" s="7"/>
      <c r="D78" s="8"/>
      <c r="E78" s="5"/>
      <c r="F78" s="5"/>
    </row>
    <row r="79" spans="1:6" x14ac:dyDescent="0.25">
      <c r="A79" s="5"/>
      <c r="B79" s="5"/>
      <c r="C79" s="7"/>
      <c r="D79" s="8"/>
      <c r="E79" s="5"/>
      <c r="F79" s="5"/>
    </row>
    <row r="80" spans="1:6" x14ac:dyDescent="0.25">
      <c r="A80" s="5"/>
      <c r="B80" s="5"/>
      <c r="C80" s="7"/>
      <c r="D80" s="8"/>
      <c r="E80" s="5"/>
      <c r="F80" s="5"/>
    </row>
    <row r="81" spans="1:6" x14ac:dyDescent="0.25">
      <c r="A81" s="5"/>
      <c r="B81" s="5"/>
      <c r="C81" s="7"/>
      <c r="D81" s="8"/>
      <c r="E81" s="5"/>
      <c r="F81" s="5"/>
    </row>
    <row r="82" spans="1:6" x14ac:dyDescent="0.25">
      <c r="A82" s="5"/>
      <c r="B82" s="5"/>
      <c r="C82" s="7"/>
      <c r="D82" s="8"/>
      <c r="E82" s="5"/>
      <c r="F82" s="5"/>
    </row>
    <row r="83" spans="1:6" x14ac:dyDescent="0.25">
      <c r="A83" s="5"/>
      <c r="B83" s="5"/>
      <c r="C83" s="7"/>
      <c r="D83" s="8"/>
      <c r="E83" s="5"/>
      <c r="F83" s="5"/>
    </row>
    <row r="84" spans="1:6" x14ac:dyDescent="0.25">
      <c r="A84" s="5"/>
      <c r="B84" s="5"/>
      <c r="C84" s="7"/>
      <c r="D84" s="8"/>
      <c r="E84" s="5"/>
      <c r="F84" s="5"/>
    </row>
    <row r="85" spans="1:6" x14ac:dyDescent="0.25">
      <c r="A85" s="5"/>
      <c r="B85" s="5"/>
      <c r="C85" s="7"/>
      <c r="D85" s="8"/>
      <c r="E85" s="5"/>
      <c r="F85" s="5"/>
    </row>
    <row r="86" spans="1:6" x14ac:dyDescent="0.25">
      <c r="A86" s="5"/>
      <c r="B86" s="5"/>
      <c r="C86" s="7"/>
      <c r="D86" s="8"/>
      <c r="E86" s="5"/>
      <c r="F86" s="5"/>
    </row>
    <row r="87" spans="1:6" x14ac:dyDescent="0.25">
      <c r="A87" s="5"/>
      <c r="B87" s="5"/>
      <c r="C87" s="7"/>
      <c r="D87" s="8"/>
      <c r="E87" s="5"/>
      <c r="F87" s="5"/>
    </row>
    <row r="88" spans="1:6" x14ac:dyDescent="0.25">
      <c r="A88" s="5"/>
      <c r="B88" s="5"/>
      <c r="C88" s="7"/>
      <c r="D88" s="8"/>
      <c r="E88" s="5"/>
      <c r="F88" s="5"/>
    </row>
    <row r="89" spans="1:6" x14ac:dyDescent="0.25">
      <c r="A89" s="5"/>
      <c r="B89" s="5"/>
      <c r="C89" s="7"/>
      <c r="D89" s="8"/>
      <c r="E89" s="5"/>
      <c r="F89" s="5"/>
    </row>
    <row r="90" spans="1:6" x14ac:dyDescent="0.25">
      <c r="A90" s="5"/>
      <c r="B90" s="5"/>
      <c r="C90" s="7"/>
      <c r="D90" s="8"/>
      <c r="E90" s="5"/>
      <c r="F90" s="5"/>
    </row>
    <row r="91" spans="1:6" x14ac:dyDescent="0.25">
      <c r="A91" s="5"/>
      <c r="B91" s="5"/>
      <c r="C91" s="7"/>
      <c r="D91" s="8"/>
      <c r="E91" s="5"/>
      <c r="F91" s="5"/>
    </row>
    <row r="92" spans="1:6" x14ac:dyDescent="0.25">
      <c r="A92" s="5"/>
      <c r="B92" s="5"/>
      <c r="C92" s="7"/>
      <c r="D92" s="8"/>
      <c r="E92" s="5"/>
      <c r="F92" s="5"/>
    </row>
    <row r="93" spans="1:6" x14ac:dyDescent="0.25">
      <c r="A93" s="5"/>
      <c r="B93" s="5"/>
      <c r="C93" s="7"/>
      <c r="D93" s="8"/>
      <c r="E93" s="5"/>
      <c r="F93" s="5"/>
    </row>
    <row r="94" spans="1:6" x14ac:dyDescent="0.25">
      <c r="A94" s="5"/>
      <c r="B94" s="5"/>
      <c r="C94" s="7"/>
      <c r="D94" s="8"/>
      <c r="E94" s="5"/>
      <c r="F94" s="5"/>
    </row>
    <row r="95" spans="1:6" x14ac:dyDescent="0.25">
      <c r="A95" s="5"/>
      <c r="B95" s="5"/>
      <c r="C95" s="7"/>
      <c r="D95" s="8"/>
      <c r="E95" s="5"/>
      <c r="F95" s="5"/>
    </row>
    <row r="96" spans="1:6" x14ac:dyDescent="0.25">
      <c r="A96" s="5"/>
      <c r="B96" s="5"/>
      <c r="C96" s="7"/>
      <c r="D96" s="8"/>
      <c r="E96" s="5"/>
      <c r="F96" s="5"/>
    </row>
    <row r="97" spans="1:6" x14ac:dyDescent="0.25">
      <c r="A97" s="5"/>
      <c r="B97" s="5"/>
      <c r="C97" s="7"/>
      <c r="D97" s="8"/>
      <c r="E97" s="5"/>
      <c r="F97" s="5"/>
    </row>
    <row r="98" spans="1:6" x14ac:dyDescent="0.25">
      <c r="A98" s="5"/>
      <c r="B98" s="5"/>
      <c r="C98" s="7"/>
      <c r="D98" s="8"/>
      <c r="E98" s="5"/>
      <c r="F98" s="5"/>
    </row>
    <row r="99" spans="1:6" x14ac:dyDescent="0.25">
      <c r="A99" s="5"/>
      <c r="B99" s="5"/>
      <c r="C99" s="7"/>
      <c r="D99" s="8"/>
      <c r="E99" s="5"/>
      <c r="F99" s="5"/>
    </row>
    <row r="100" spans="1:6" x14ac:dyDescent="0.25">
      <c r="A100" s="5"/>
      <c r="B100" s="5"/>
      <c r="C100" s="7"/>
      <c r="D100" s="8"/>
      <c r="E100" s="5"/>
      <c r="F100" s="5"/>
    </row>
    <row r="101" spans="1:6" x14ac:dyDescent="0.25">
      <c r="A101" s="5"/>
      <c r="B101" s="5"/>
      <c r="C101" s="7"/>
      <c r="D101" s="8"/>
      <c r="E101" s="5"/>
      <c r="F101" s="5"/>
    </row>
    <row r="102" spans="1:6" x14ac:dyDescent="0.25">
      <c r="A102" s="5"/>
      <c r="B102" s="5"/>
      <c r="C102" s="7"/>
      <c r="D102" s="8"/>
      <c r="E102" s="5"/>
      <c r="F102" s="5"/>
    </row>
    <row r="103" spans="1:6" x14ac:dyDescent="0.25">
      <c r="A103" s="5"/>
      <c r="B103" s="5"/>
      <c r="C103" s="7"/>
      <c r="D103" s="8"/>
      <c r="E103" s="5"/>
      <c r="F103" s="5"/>
    </row>
    <row r="104" spans="1:6" x14ac:dyDescent="0.25">
      <c r="A104" s="5"/>
      <c r="B104" s="5"/>
      <c r="C104" s="7"/>
      <c r="D104" s="8"/>
      <c r="E104" s="5"/>
      <c r="F104" s="5"/>
    </row>
    <row r="105" spans="1:6" x14ac:dyDescent="0.25">
      <c r="A105" s="5"/>
      <c r="B105" s="5"/>
      <c r="C105" s="7"/>
      <c r="D105" s="8"/>
      <c r="E105" s="5"/>
      <c r="F105" s="5"/>
    </row>
    <row r="106" spans="1:6" x14ac:dyDescent="0.25">
      <c r="A106" s="5"/>
      <c r="B106" s="5"/>
      <c r="C106" s="7"/>
      <c r="D106" s="8"/>
      <c r="E106" s="5"/>
      <c r="F106" s="5"/>
    </row>
    <row r="107" spans="1:6" x14ac:dyDescent="0.25">
      <c r="A107" s="5"/>
      <c r="B107" s="5"/>
      <c r="C107" s="7"/>
      <c r="D107" s="8"/>
      <c r="E107" s="5"/>
      <c r="F107" s="5"/>
    </row>
    <row r="108" spans="1:6" x14ac:dyDescent="0.25">
      <c r="A108" s="5"/>
      <c r="B108" s="5"/>
      <c r="C108" s="7"/>
      <c r="D108" s="8"/>
      <c r="E108" s="5"/>
      <c r="F108" s="5"/>
    </row>
    <row r="109" spans="1:6" x14ac:dyDescent="0.25">
      <c r="A109" s="5"/>
      <c r="B109" s="5"/>
      <c r="C109" s="7"/>
      <c r="D109" s="8"/>
      <c r="E109" s="5"/>
      <c r="F109" s="5"/>
    </row>
    <row r="110" spans="1:6" x14ac:dyDescent="0.25">
      <c r="A110" s="5"/>
      <c r="B110" s="5"/>
      <c r="C110" s="7"/>
      <c r="D110" s="8"/>
      <c r="E110" s="5"/>
      <c r="F110" s="5"/>
    </row>
    <row r="111" spans="1:6" x14ac:dyDescent="0.25">
      <c r="A111" s="5"/>
      <c r="B111" s="5"/>
      <c r="C111" s="7"/>
      <c r="D111" s="8"/>
      <c r="E111" s="5"/>
      <c r="F111" s="5"/>
    </row>
    <row r="112" spans="1:6" x14ac:dyDescent="0.25">
      <c r="A112" s="5"/>
      <c r="B112" s="5"/>
      <c r="C112" s="7"/>
      <c r="D112" s="8"/>
      <c r="E112" s="5"/>
      <c r="F112" s="5"/>
    </row>
    <row r="113" spans="1:6" x14ac:dyDescent="0.25">
      <c r="A113" s="5"/>
      <c r="B113" s="5"/>
      <c r="C113" s="7"/>
      <c r="D113" s="8"/>
      <c r="E113" s="5"/>
      <c r="F113" s="5"/>
    </row>
    <row r="114" spans="1:6" x14ac:dyDescent="0.25">
      <c r="A114" s="5"/>
      <c r="B114" s="5"/>
      <c r="C114" s="7"/>
      <c r="D114" s="8"/>
      <c r="E114" s="5"/>
      <c r="F114" s="5"/>
    </row>
    <row r="115" spans="1:6" x14ac:dyDescent="0.25">
      <c r="A115" s="5"/>
      <c r="B115" s="5"/>
      <c r="C115" s="7"/>
      <c r="D115" s="8"/>
      <c r="E115" s="5"/>
      <c r="F115" s="5"/>
    </row>
    <row r="116" spans="1:6" x14ac:dyDescent="0.25">
      <c r="A116" s="5"/>
      <c r="B116" s="5"/>
      <c r="C116" s="7"/>
      <c r="D116" s="8"/>
      <c r="E116" s="5"/>
      <c r="F116" s="5"/>
    </row>
    <row r="117" spans="1:6" x14ac:dyDescent="0.25">
      <c r="A117" s="5"/>
      <c r="B117" s="5"/>
      <c r="C117" s="7"/>
      <c r="D117" s="8"/>
      <c r="E117" s="5"/>
      <c r="F117" s="5"/>
    </row>
    <row r="118" spans="1:6" x14ac:dyDescent="0.25">
      <c r="A118" s="5"/>
      <c r="B118" s="5"/>
      <c r="C118" s="7"/>
      <c r="D118" s="8"/>
      <c r="E118" s="5"/>
      <c r="F118" s="5"/>
    </row>
    <row r="119" spans="1:6" x14ac:dyDescent="0.25">
      <c r="A119" s="5"/>
      <c r="B119" s="5"/>
      <c r="C119" s="7"/>
      <c r="D119" s="8"/>
      <c r="E119" s="5"/>
      <c r="F119" s="5"/>
    </row>
    <row r="120" spans="1:6" x14ac:dyDescent="0.25">
      <c r="A120" s="5"/>
      <c r="B120" s="5"/>
      <c r="C120" s="7"/>
      <c r="D120" s="8"/>
      <c r="E120" s="5"/>
      <c r="F120" s="5"/>
    </row>
    <row r="121" spans="1:6" x14ac:dyDescent="0.25">
      <c r="A121" s="5"/>
      <c r="B121" s="5"/>
      <c r="C121" s="7"/>
      <c r="D121" s="8"/>
      <c r="E121" s="5"/>
      <c r="F121" s="5"/>
    </row>
    <row r="122" spans="1:6" x14ac:dyDescent="0.25">
      <c r="A122" s="5"/>
      <c r="B122" s="5"/>
      <c r="C122" s="7"/>
      <c r="D122" s="8"/>
      <c r="E122" s="5"/>
      <c r="F122" s="5"/>
    </row>
    <row r="123" spans="1:6" x14ac:dyDescent="0.25">
      <c r="A123" s="5"/>
      <c r="B123" s="5"/>
      <c r="C123" s="7"/>
      <c r="D123" s="8"/>
      <c r="E123" s="5"/>
      <c r="F123" s="5"/>
    </row>
    <row r="124" spans="1:6" x14ac:dyDescent="0.25">
      <c r="A124" s="5"/>
      <c r="B124" s="5"/>
      <c r="C124" s="7"/>
      <c r="D124" s="8"/>
      <c r="E124" s="5"/>
      <c r="F124" s="5"/>
    </row>
    <row r="125" spans="1:6" x14ac:dyDescent="0.25">
      <c r="A125" s="5"/>
      <c r="B125" s="5"/>
      <c r="C125" s="7"/>
      <c r="D125" s="8"/>
      <c r="E125" s="5"/>
      <c r="F125" s="5"/>
    </row>
    <row r="126" spans="1:6" x14ac:dyDescent="0.25">
      <c r="A126" s="5"/>
      <c r="B126" s="5"/>
      <c r="C126" s="7"/>
      <c r="D126" s="8"/>
      <c r="E126" s="5"/>
      <c r="F126" s="5"/>
    </row>
    <row r="127" spans="1:6" x14ac:dyDescent="0.25">
      <c r="A127" s="5"/>
      <c r="B127" s="5"/>
      <c r="C127" s="7"/>
      <c r="D127" s="8"/>
      <c r="E127" s="5"/>
      <c r="F127" s="5"/>
    </row>
    <row r="128" spans="1:6" x14ac:dyDescent="0.25">
      <c r="A128" s="5"/>
      <c r="B128" s="5"/>
      <c r="C128" s="7"/>
      <c r="D128" s="8"/>
      <c r="E128" s="5"/>
      <c r="F128" s="5"/>
    </row>
    <row r="129" spans="1:6" x14ac:dyDescent="0.25">
      <c r="A129" s="5"/>
      <c r="B129" s="5"/>
      <c r="C129" s="7"/>
      <c r="D129" s="8"/>
      <c r="E129" s="5"/>
      <c r="F129" s="5"/>
    </row>
    <row r="130" spans="1:6" x14ac:dyDescent="0.25">
      <c r="A130" s="5"/>
      <c r="B130" s="5"/>
      <c r="C130" s="7"/>
      <c r="D130" s="8"/>
      <c r="E130" s="5"/>
      <c r="F130" s="5"/>
    </row>
    <row r="131" spans="1:6" x14ac:dyDescent="0.25">
      <c r="A131" s="5"/>
      <c r="B131" s="5"/>
      <c r="C131" s="7"/>
      <c r="D131" s="8"/>
      <c r="E131" s="5"/>
      <c r="F131" s="5"/>
    </row>
    <row r="132" spans="1:6" x14ac:dyDescent="0.25">
      <c r="A132" s="5"/>
      <c r="B132" s="5"/>
      <c r="C132" s="7"/>
      <c r="D132" s="8"/>
      <c r="E132" s="5"/>
      <c r="F132" s="5"/>
    </row>
    <row r="133" spans="1:6" x14ac:dyDescent="0.25">
      <c r="A133" s="5"/>
      <c r="B133" s="5"/>
      <c r="C133" s="7"/>
      <c r="D133" s="8"/>
      <c r="E133" s="5"/>
      <c r="F133" s="5"/>
    </row>
    <row r="134" spans="1:6" x14ac:dyDescent="0.25">
      <c r="A134" s="5"/>
      <c r="B134" s="5"/>
      <c r="C134" s="7"/>
      <c r="D134" s="8"/>
      <c r="E134" s="5"/>
      <c r="F134" s="5"/>
    </row>
    <row r="135" spans="1:6" x14ac:dyDescent="0.25">
      <c r="A135" s="5"/>
      <c r="B135" s="5"/>
      <c r="C135" s="7"/>
      <c r="D135" s="8"/>
      <c r="E135" s="5"/>
      <c r="F135" s="5"/>
    </row>
    <row r="136" spans="1:6" x14ac:dyDescent="0.25">
      <c r="A136" s="5"/>
      <c r="B136" s="5"/>
      <c r="C136" s="7"/>
      <c r="D136" s="8"/>
      <c r="E136" s="5"/>
      <c r="F136" s="5"/>
    </row>
    <row r="137" spans="1:6" x14ac:dyDescent="0.25">
      <c r="A137" s="5"/>
      <c r="B137" s="5"/>
      <c r="C137" s="7"/>
      <c r="D137" s="8"/>
      <c r="E137" s="5"/>
      <c r="F137" s="5"/>
    </row>
    <row r="138" spans="1:6" x14ac:dyDescent="0.25">
      <c r="A138" s="5"/>
      <c r="B138" s="5"/>
      <c r="C138" s="7"/>
      <c r="D138" s="8"/>
      <c r="E138" s="5"/>
      <c r="F138" s="5"/>
    </row>
    <row r="139" spans="1:6" x14ac:dyDescent="0.25">
      <c r="A139" s="5"/>
      <c r="B139" s="5"/>
      <c r="C139" s="7"/>
      <c r="D139" s="8"/>
      <c r="E139" s="5"/>
      <c r="F139" s="5"/>
    </row>
    <row r="140" spans="1:6" x14ac:dyDescent="0.25">
      <c r="A140" s="5"/>
      <c r="B140" s="5"/>
      <c r="C140" s="7"/>
      <c r="D140" s="8"/>
      <c r="E140" s="5"/>
      <c r="F140" s="5"/>
    </row>
    <row r="141" spans="1:6" x14ac:dyDescent="0.25">
      <c r="A141" s="5"/>
      <c r="B141" s="5"/>
      <c r="C141" s="7"/>
      <c r="D141" s="8"/>
      <c r="E141" s="5"/>
      <c r="F141" s="5"/>
    </row>
    <row r="142" spans="1:6" x14ac:dyDescent="0.25">
      <c r="A142" s="5"/>
      <c r="B142" s="5"/>
      <c r="C142" s="7"/>
      <c r="D142" s="8"/>
      <c r="E142" s="5"/>
      <c r="F142" s="5"/>
    </row>
    <row r="143" spans="1:6" x14ac:dyDescent="0.25">
      <c r="A143" s="5"/>
      <c r="B143" s="5"/>
      <c r="C143" s="7"/>
      <c r="D143" s="8"/>
      <c r="E143" s="5"/>
      <c r="F143" s="5"/>
    </row>
    <row r="144" spans="1:6" x14ac:dyDescent="0.25">
      <c r="A144" s="5"/>
      <c r="B144" s="5"/>
      <c r="C144" s="7"/>
      <c r="D144" s="8"/>
      <c r="E144" s="5"/>
      <c r="F144" s="5"/>
    </row>
    <row r="145" spans="1:6" x14ac:dyDescent="0.25">
      <c r="A145" s="5"/>
      <c r="B145" s="5"/>
      <c r="C145" s="7"/>
      <c r="D145" s="8"/>
      <c r="E145" s="5"/>
      <c r="F145" s="5"/>
    </row>
    <row r="146" spans="1:6" x14ac:dyDescent="0.25">
      <c r="A146" s="5"/>
      <c r="B146" s="5"/>
      <c r="C146" s="7"/>
      <c r="D146" s="8"/>
      <c r="E146" s="5"/>
      <c r="F146" s="5"/>
    </row>
    <row r="147" spans="1:6" x14ac:dyDescent="0.25">
      <c r="A147" s="5"/>
      <c r="B147" s="5"/>
      <c r="C147" s="7"/>
      <c r="D147" s="8"/>
      <c r="E147" s="5"/>
      <c r="F147" s="5"/>
    </row>
    <row r="148" spans="1:6" x14ac:dyDescent="0.25">
      <c r="A148" s="5"/>
      <c r="B148" s="5"/>
      <c r="C148" s="7"/>
      <c r="D148" s="8"/>
      <c r="E148" s="5"/>
      <c r="F148" s="5"/>
    </row>
    <row r="149" spans="1:6" x14ac:dyDescent="0.25">
      <c r="A149" s="5"/>
      <c r="B149" s="5"/>
      <c r="C149" s="7"/>
      <c r="D149" s="8"/>
      <c r="E149" s="5"/>
      <c r="F149" s="5"/>
    </row>
    <row r="150" spans="1:6" x14ac:dyDescent="0.25">
      <c r="A150" s="5"/>
      <c r="B150" s="5"/>
      <c r="C150" s="7"/>
      <c r="D150" s="8"/>
      <c r="E150" s="5"/>
      <c r="F150" s="5"/>
    </row>
    <row r="151" spans="1:6" x14ac:dyDescent="0.25">
      <c r="A151" s="5"/>
      <c r="B151" s="5"/>
      <c r="C151" s="7"/>
      <c r="D151" s="8"/>
      <c r="E151" s="5"/>
      <c r="F151" s="5"/>
    </row>
    <row r="152" spans="1:6" x14ac:dyDescent="0.25">
      <c r="A152" s="5"/>
      <c r="B152" s="5"/>
      <c r="C152" s="7"/>
      <c r="D152" s="8"/>
      <c r="E152" s="5"/>
      <c r="F152" s="5"/>
    </row>
    <row r="153" spans="1:6" x14ac:dyDescent="0.25">
      <c r="A153" s="5"/>
      <c r="B153" s="5"/>
      <c r="C153" s="7"/>
      <c r="D153" s="8"/>
      <c r="E153" s="5"/>
      <c r="F153" s="5"/>
    </row>
    <row r="154" spans="1:6" x14ac:dyDescent="0.25">
      <c r="A154" s="5"/>
      <c r="B154" s="5"/>
      <c r="C154" s="7"/>
      <c r="D154" s="8"/>
      <c r="E154" s="5"/>
      <c r="F154" s="5"/>
    </row>
    <row r="155" spans="1:6" x14ac:dyDescent="0.25">
      <c r="A155" s="5"/>
      <c r="B155" s="5"/>
      <c r="C155" s="7"/>
      <c r="D155" s="8"/>
      <c r="E155" s="5"/>
      <c r="F155" s="5"/>
    </row>
    <row r="156" spans="1:6" x14ac:dyDescent="0.25">
      <c r="A156" s="5"/>
      <c r="B156" s="5"/>
      <c r="C156" s="7"/>
      <c r="D156" s="8"/>
      <c r="E156" s="5"/>
      <c r="F156" s="5"/>
    </row>
    <row r="157" spans="1:6" x14ac:dyDescent="0.25">
      <c r="A157" s="5"/>
      <c r="B157" s="5"/>
      <c r="C157" s="7"/>
      <c r="D157" s="8"/>
      <c r="E157" s="5"/>
      <c r="F157" s="5"/>
    </row>
    <row r="158" spans="1:6" x14ac:dyDescent="0.25">
      <c r="A158" s="5"/>
      <c r="B158" s="5"/>
      <c r="C158" s="7"/>
      <c r="D158" s="8"/>
      <c r="E158" s="5"/>
      <c r="F158" s="5"/>
    </row>
    <row r="159" spans="1:6" x14ac:dyDescent="0.25">
      <c r="A159" s="5"/>
      <c r="B159" s="5"/>
      <c r="C159" s="7"/>
      <c r="D159" s="8"/>
      <c r="E159" s="5"/>
      <c r="F159" s="5"/>
    </row>
    <row r="160" spans="1:6" x14ac:dyDescent="0.25">
      <c r="A160" s="5"/>
      <c r="B160" s="5"/>
      <c r="C160" s="7"/>
      <c r="D160" s="8"/>
      <c r="E160" s="5"/>
      <c r="F160" s="5"/>
    </row>
    <row r="161" spans="1:6" x14ac:dyDescent="0.25">
      <c r="A161" s="5"/>
      <c r="B161" s="5"/>
      <c r="C161" s="7"/>
      <c r="D161" s="8"/>
      <c r="E161" s="5"/>
      <c r="F161" s="5"/>
    </row>
    <row r="162" spans="1:6" x14ac:dyDescent="0.25">
      <c r="A162" s="5"/>
      <c r="B162" s="5"/>
      <c r="C162" s="7"/>
      <c r="D162" s="8"/>
      <c r="E162" s="5"/>
      <c r="F162" s="5"/>
    </row>
    <row r="163" spans="1:6" x14ac:dyDescent="0.25">
      <c r="A163" s="5"/>
      <c r="B163" s="5"/>
      <c r="C163" s="7"/>
      <c r="D163" s="8"/>
      <c r="E163" s="5"/>
      <c r="F163" s="5"/>
    </row>
    <row r="164" spans="1:6" x14ac:dyDescent="0.25">
      <c r="A164" s="5"/>
      <c r="B164" s="5"/>
      <c r="C164" s="7"/>
      <c r="D164" s="8"/>
      <c r="E164" s="5"/>
      <c r="F164" s="5"/>
    </row>
    <row r="165" spans="1:6" x14ac:dyDescent="0.25">
      <c r="A165" s="5"/>
      <c r="B165" s="5"/>
      <c r="C165" s="7"/>
      <c r="D165" s="8"/>
      <c r="E165" s="5"/>
      <c r="F165" s="5"/>
    </row>
    <row r="166" spans="1:6" x14ac:dyDescent="0.25">
      <c r="A166" s="5"/>
      <c r="B166" s="5"/>
      <c r="C166" s="7"/>
      <c r="D166" s="8"/>
      <c r="E166" s="5"/>
      <c r="F166" s="5"/>
    </row>
    <row r="167" spans="1:6" x14ac:dyDescent="0.25">
      <c r="A167" s="5"/>
      <c r="B167" s="5"/>
      <c r="C167" s="7"/>
      <c r="D167" s="8"/>
      <c r="E167" s="5"/>
      <c r="F167" s="5"/>
    </row>
    <row r="168" spans="1:6" x14ac:dyDescent="0.25">
      <c r="A168" s="5"/>
      <c r="B168" s="5"/>
      <c r="C168" s="7"/>
      <c r="D168" s="8"/>
      <c r="E168" s="5"/>
      <c r="F168" s="5"/>
    </row>
    <row r="169" spans="1:6" x14ac:dyDescent="0.25">
      <c r="A169" s="5"/>
      <c r="B169" s="5"/>
      <c r="C169" s="7"/>
      <c r="D169" s="8"/>
      <c r="E169" s="5"/>
      <c r="F169" s="5"/>
    </row>
    <row r="170" spans="1:6" x14ac:dyDescent="0.25">
      <c r="A170" s="5"/>
      <c r="B170" s="5"/>
      <c r="C170" s="7"/>
      <c r="D170" s="8"/>
      <c r="E170" s="5"/>
      <c r="F170" s="5"/>
    </row>
    <row r="171" spans="1:6" x14ac:dyDescent="0.25">
      <c r="A171" s="5"/>
      <c r="B171" s="5"/>
      <c r="C171" s="7"/>
      <c r="D171" s="8"/>
      <c r="E171" s="5"/>
      <c r="F171" s="5"/>
    </row>
    <row r="172" spans="1:6" x14ac:dyDescent="0.25">
      <c r="A172" s="5"/>
      <c r="B172" s="5"/>
      <c r="C172" s="7"/>
      <c r="D172" s="8"/>
      <c r="E172" s="5"/>
      <c r="F172" s="5"/>
    </row>
    <row r="173" spans="1:6" x14ac:dyDescent="0.25">
      <c r="A173" s="5"/>
      <c r="B173" s="5"/>
      <c r="C173" s="7"/>
      <c r="D173" s="8"/>
      <c r="E173" s="5"/>
      <c r="F173" s="5"/>
    </row>
    <row r="174" spans="1:6" x14ac:dyDescent="0.25">
      <c r="A174" s="5"/>
      <c r="B174" s="5"/>
      <c r="C174" s="7"/>
      <c r="D174" s="8"/>
      <c r="E174" s="5"/>
      <c r="F174" s="5"/>
    </row>
    <row r="175" spans="1:6" x14ac:dyDescent="0.25">
      <c r="A175" s="5"/>
      <c r="B175" s="5"/>
      <c r="C175" s="7"/>
      <c r="D175" s="8"/>
      <c r="E175" s="5"/>
      <c r="F175" s="5"/>
    </row>
    <row r="176" spans="1:6" x14ac:dyDescent="0.25">
      <c r="A176" s="5"/>
      <c r="B176" s="5"/>
      <c r="C176" s="7"/>
      <c r="D176" s="8"/>
      <c r="E176" s="5"/>
      <c r="F176" s="5"/>
    </row>
    <row r="177" spans="1:6" x14ac:dyDescent="0.25">
      <c r="A177" s="5"/>
      <c r="B177" s="5"/>
      <c r="C177" s="7"/>
      <c r="D177" s="8"/>
      <c r="E177" s="5"/>
      <c r="F177" s="5"/>
    </row>
    <row r="178" spans="1:6" x14ac:dyDescent="0.25">
      <c r="A178" s="5"/>
      <c r="B178" s="5"/>
      <c r="C178" s="7"/>
      <c r="D178" s="8"/>
      <c r="E178" s="5"/>
      <c r="F178" s="5"/>
    </row>
    <row r="179" spans="1:6" x14ac:dyDescent="0.25">
      <c r="A179" s="5"/>
      <c r="B179" s="5"/>
      <c r="C179" s="7"/>
      <c r="D179" s="8"/>
      <c r="E179" s="5"/>
      <c r="F179" s="5"/>
    </row>
    <row r="180" spans="1:6" x14ac:dyDescent="0.25">
      <c r="A180" s="5"/>
      <c r="B180" s="5"/>
      <c r="C180" s="7"/>
      <c r="D180" s="8"/>
      <c r="E180" s="5"/>
      <c r="F180" s="5"/>
    </row>
    <row r="181" spans="1:6" x14ac:dyDescent="0.25">
      <c r="A181" s="5"/>
      <c r="B181" s="5"/>
      <c r="C181" s="7"/>
      <c r="D181" s="8"/>
      <c r="E181" s="5"/>
      <c r="F181" s="5"/>
    </row>
    <row r="182" spans="1:6" x14ac:dyDescent="0.25">
      <c r="A182" s="5"/>
      <c r="B182" s="5"/>
      <c r="C182" s="7"/>
      <c r="D182" s="8"/>
      <c r="E182" s="5"/>
      <c r="F182" s="5"/>
    </row>
    <row r="183" spans="1:6" x14ac:dyDescent="0.25">
      <c r="A183" s="5"/>
      <c r="B183" s="5"/>
      <c r="C183" s="7"/>
      <c r="D183" s="8"/>
      <c r="E183" s="5"/>
      <c r="F183" s="5"/>
    </row>
    <row r="184" spans="1:6" x14ac:dyDescent="0.25">
      <c r="A184" s="5"/>
      <c r="B184" s="5"/>
      <c r="C184" s="7"/>
      <c r="D184" s="8"/>
      <c r="E184" s="5"/>
      <c r="F184" s="5"/>
    </row>
    <row r="185" spans="1:6" x14ac:dyDescent="0.25">
      <c r="A185" s="5"/>
      <c r="B185" s="5"/>
      <c r="C185" s="7"/>
      <c r="D185" s="8"/>
      <c r="E185" s="5"/>
      <c r="F185" s="5"/>
    </row>
    <row r="186" spans="1:6" x14ac:dyDescent="0.25">
      <c r="A186" s="5"/>
      <c r="B186" s="5"/>
      <c r="C186" s="7"/>
      <c r="D186" s="8"/>
      <c r="E186" s="5"/>
      <c r="F186" s="5"/>
    </row>
    <row r="187" spans="1:6" x14ac:dyDescent="0.25">
      <c r="A187" s="5"/>
      <c r="B187" s="5"/>
      <c r="C187" s="7"/>
      <c r="D187" s="8"/>
      <c r="E187" s="5"/>
      <c r="F187" s="5"/>
    </row>
    <row r="188" spans="1:6" x14ac:dyDescent="0.25">
      <c r="A188" s="5"/>
      <c r="B188" s="5"/>
      <c r="C188" s="7"/>
      <c r="D188" s="8"/>
      <c r="E188" s="5"/>
      <c r="F188" s="5"/>
    </row>
    <row r="189" spans="1:6" x14ac:dyDescent="0.25">
      <c r="A189" s="5"/>
      <c r="B189" s="5"/>
      <c r="C189" s="7"/>
      <c r="D189" s="8"/>
      <c r="E189" s="5"/>
      <c r="F189" s="5"/>
    </row>
    <row r="190" spans="1:6" x14ac:dyDescent="0.25">
      <c r="A190" s="5"/>
      <c r="B190" s="5"/>
      <c r="C190" s="7"/>
      <c r="D190" s="8"/>
      <c r="E190" s="5"/>
      <c r="F190" s="5"/>
    </row>
    <row r="191" spans="1:6" x14ac:dyDescent="0.25">
      <c r="A191" s="5"/>
      <c r="B191" s="5"/>
      <c r="C191" s="7"/>
      <c r="D191" s="8"/>
      <c r="E191" s="5"/>
      <c r="F191" s="5"/>
    </row>
    <row r="192" spans="1:6" x14ac:dyDescent="0.25">
      <c r="A192" s="5"/>
      <c r="B192" s="5"/>
      <c r="C192" s="7"/>
      <c r="D192" s="8"/>
      <c r="E192" s="5"/>
      <c r="F192" s="5"/>
    </row>
    <row r="193" spans="1:6" x14ac:dyDescent="0.25">
      <c r="A193" s="5"/>
      <c r="B193" s="5"/>
      <c r="C193" s="7"/>
      <c r="D193" s="8"/>
      <c r="E193" s="5"/>
      <c r="F193" s="5"/>
    </row>
    <row r="194" spans="1:6" x14ac:dyDescent="0.25">
      <c r="A194" s="5"/>
      <c r="B194" s="5"/>
      <c r="C194" s="7"/>
      <c r="D194" s="8"/>
      <c r="E194" s="5"/>
      <c r="F194" s="5"/>
    </row>
    <row r="195" spans="1:6" x14ac:dyDescent="0.25">
      <c r="A195" s="5"/>
      <c r="B195" s="5"/>
      <c r="C195" s="7"/>
      <c r="D195" s="8"/>
      <c r="E195" s="5"/>
      <c r="F195" s="5"/>
    </row>
    <row r="196" spans="1:6" x14ac:dyDescent="0.25">
      <c r="A196" s="5"/>
      <c r="B196" s="5"/>
      <c r="C196" s="7"/>
      <c r="D196" s="8"/>
      <c r="E196" s="5"/>
      <c r="F196" s="5"/>
    </row>
    <row r="197" spans="1:6" x14ac:dyDescent="0.25">
      <c r="A197" s="5"/>
      <c r="B197" s="5"/>
      <c r="C197" s="7"/>
      <c r="D197" s="8"/>
      <c r="E197" s="5"/>
      <c r="F197" s="5"/>
    </row>
    <row r="198" spans="1:6" x14ac:dyDescent="0.25">
      <c r="A198" s="5"/>
      <c r="B198" s="5"/>
      <c r="C198" s="7"/>
      <c r="D198" s="8"/>
      <c r="E198" s="5"/>
      <c r="F198" s="5"/>
    </row>
    <row r="199" spans="1:6" x14ac:dyDescent="0.25">
      <c r="A199" s="5"/>
      <c r="B199" s="5"/>
      <c r="C199" s="7"/>
      <c r="D199" s="8"/>
      <c r="E199" s="5"/>
      <c r="F199" s="5"/>
    </row>
    <row r="200" spans="1:6" x14ac:dyDescent="0.25">
      <c r="A200" s="5"/>
      <c r="B200" s="5"/>
      <c r="C200" s="7"/>
      <c r="D200" s="8"/>
      <c r="E200" s="5"/>
      <c r="F200" s="5"/>
    </row>
    <row r="201" spans="1:6" x14ac:dyDescent="0.25">
      <c r="A201" s="5"/>
      <c r="B201" s="5"/>
      <c r="C201" s="7"/>
      <c r="D201" s="8"/>
      <c r="E201" s="5"/>
      <c r="F201" s="5"/>
    </row>
    <row r="202" spans="1:6" x14ac:dyDescent="0.25">
      <c r="A202" s="5"/>
      <c r="B202" s="5"/>
      <c r="C202" s="7"/>
      <c r="D202" s="8"/>
      <c r="E202" s="5"/>
      <c r="F202" s="5"/>
    </row>
    <row r="203" spans="1:6" x14ac:dyDescent="0.25">
      <c r="A203" s="5"/>
      <c r="B203" s="5"/>
      <c r="C203" s="7"/>
      <c r="D203" s="8"/>
      <c r="E203" s="5"/>
      <c r="F203" s="5"/>
    </row>
    <row r="204" spans="1:6" x14ac:dyDescent="0.25">
      <c r="A204" s="5"/>
      <c r="B204" s="5"/>
      <c r="C204" s="7"/>
      <c r="D204" s="8"/>
      <c r="E204" s="5"/>
      <c r="F204" s="5"/>
    </row>
    <row r="205" spans="1:6" x14ac:dyDescent="0.25">
      <c r="A205" s="5"/>
      <c r="B205" s="5"/>
      <c r="C205" s="7"/>
      <c r="D205" s="8"/>
      <c r="E205" s="5"/>
      <c r="F205" s="5"/>
    </row>
    <row r="206" spans="1:6" x14ac:dyDescent="0.25">
      <c r="A206" s="5"/>
      <c r="B206" s="5"/>
      <c r="C206" s="7"/>
      <c r="D206" s="8"/>
      <c r="E206" s="5"/>
      <c r="F206" s="5"/>
    </row>
    <row r="207" spans="1:6" x14ac:dyDescent="0.25">
      <c r="A207" s="5"/>
      <c r="B207" s="5"/>
      <c r="C207" s="7"/>
      <c r="D207" s="8"/>
      <c r="E207" s="5"/>
      <c r="F207" s="5"/>
    </row>
    <row r="208" spans="1:6" x14ac:dyDescent="0.25">
      <c r="A208" s="5"/>
      <c r="B208" s="5"/>
      <c r="C208" s="7"/>
      <c r="D208" s="8"/>
      <c r="E208" s="5"/>
      <c r="F208" s="5"/>
    </row>
    <row r="209" spans="1:6" x14ac:dyDescent="0.25">
      <c r="A209" s="5"/>
      <c r="B209" s="5"/>
      <c r="C209" s="7"/>
      <c r="D209" s="8"/>
      <c r="E209" s="5"/>
      <c r="F209" s="5"/>
    </row>
    <row r="210" spans="1:6" x14ac:dyDescent="0.25">
      <c r="A210" s="5"/>
      <c r="B210" s="5"/>
      <c r="C210" s="7"/>
      <c r="D210" s="8"/>
      <c r="E210" s="5"/>
      <c r="F210" s="5"/>
    </row>
    <row r="211" spans="1:6" x14ac:dyDescent="0.25">
      <c r="A211" s="5"/>
      <c r="B211" s="5"/>
      <c r="C211" s="7"/>
      <c r="D211" s="8"/>
      <c r="E211" s="5"/>
      <c r="F211" s="5"/>
    </row>
    <row r="212" spans="1:6" x14ac:dyDescent="0.25">
      <c r="A212" s="5"/>
      <c r="B212" s="5"/>
      <c r="C212" s="7"/>
      <c r="D212" s="8"/>
      <c r="E212" s="5"/>
      <c r="F212" s="5"/>
    </row>
    <row r="213" spans="1:6" x14ac:dyDescent="0.25">
      <c r="A213" s="5"/>
      <c r="B213" s="5"/>
      <c r="C213" s="7"/>
      <c r="D213" s="8"/>
      <c r="E213" s="5"/>
      <c r="F213" s="5"/>
    </row>
    <row r="214" spans="1:6" x14ac:dyDescent="0.25">
      <c r="A214" s="5"/>
      <c r="B214" s="5"/>
      <c r="C214" s="7"/>
      <c r="D214" s="8"/>
      <c r="E214" s="5"/>
      <c r="F214" s="5"/>
    </row>
    <row r="215" spans="1:6" x14ac:dyDescent="0.25">
      <c r="A215" s="5"/>
      <c r="B215" s="5"/>
      <c r="C215" s="7"/>
      <c r="D215" s="8"/>
      <c r="E215" s="5"/>
      <c r="F215" s="5"/>
    </row>
    <row r="216" spans="1:6" x14ac:dyDescent="0.25">
      <c r="A216" s="5"/>
      <c r="B216" s="5"/>
      <c r="C216" s="7"/>
      <c r="D216" s="8"/>
      <c r="E216" s="5"/>
      <c r="F216" s="5"/>
    </row>
    <row r="217" spans="1:6" x14ac:dyDescent="0.25">
      <c r="A217" s="5"/>
      <c r="B217" s="5"/>
      <c r="C217" s="7"/>
      <c r="D217" s="8"/>
      <c r="E217" s="5"/>
      <c r="F217" s="5"/>
    </row>
    <row r="218" spans="1:6" x14ac:dyDescent="0.25">
      <c r="A218" s="5"/>
      <c r="B218" s="5"/>
      <c r="C218" s="7"/>
      <c r="D218" s="8"/>
      <c r="E218" s="5"/>
      <c r="F218" s="5"/>
    </row>
    <row r="219" spans="1:6" x14ac:dyDescent="0.25">
      <c r="A219" s="5"/>
      <c r="B219" s="5"/>
      <c r="C219" s="7"/>
      <c r="D219" s="8"/>
      <c r="E219" s="5"/>
      <c r="F219" s="5"/>
    </row>
    <row r="220" spans="1:6" x14ac:dyDescent="0.25">
      <c r="A220" s="5"/>
      <c r="B220" s="5"/>
      <c r="C220" s="7"/>
      <c r="D220" s="8"/>
      <c r="E220" s="5"/>
      <c r="F220" s="5"/>
    </row>
    <row r="221" spans="1:6" x14ac:dyDescent="0.25">
      <c r="A221" s="5"/>
      <c r="B221" s="5"/>
      <c r="C221" s="7"/>
      <c r="D221" s="8"/>
      <c r="E221" s="5"/>
      <c r="F221" s="5"/>
    </row>
    <row r="222" spans="1:6" x14ac:dyDescent="0.25">
      <c r="A222" s="5"/>
      <c r="B222" s="5"/>
      <c r="C222" s="7"/>
      <c r="D222" s="8"/>
      <c r="E222" s="5"/>
      <c r="F222" s="5"/>
    </row>
    <row r="223" spans="1:6" x14ac:dyDescent="0.25">
      <c r="A223" s="5"/>
      <c r="B223" s="5"/>
      <c r="C223" s="7"/>
      <c r="D223" s="8"/>
      <c r="E223" s="5"/>
      <c r="F223" s="5"/>
    </row>
    <row r="224" spans="1:6" x14ac:dyDescent="0.25">
      <c r="A224" s="5"/>
      <c r="B224" s="5"/>
      <c r="C224" s="7"/>
      <c r="D224" s="8"/>
      <c r="E224" s="5"/>
      <c r="F224" s="5"/>
    </row>
    <row r="225" spans="1:6" x14ac:dyDescent="0.25">
      <c r="A225" s="5"/>
      <c r="B225" s="5"/>
      <c r="C225" s="7"/>
      <c r="D225" s="8"/>
      <c r="E225" s="5"/>
      <c r="F225" s="5"/>
    </row>
    <row r="226" spans="1:6" x14ac:dyDescent="0.25">
      <c r="A226" s="5"/>
      <c r="B226" s="5"/>
      <c r="C226" s="7"/>
      <c r="D226" s="8"/>
      <c r="E226" s="5"/>
      <c r="F226" s="5"/>
    </row>
    <row r="227" spans="1:6" x14ac:dyDescent="0.25">
      <c r="A227" s="5"/>
      <c r="B227" s="5"/>
      <c r="C227" s="7"/>
      <c r="D227" s="8"/>
      <c r="E227" s="5"/>
      <c r="F227" s="5"/>
    </row>
    <row r="228" spans="1:6" x14ac:dyDescent="0.25">
      <c r="A228" s="5"/>
      <c r="B228" s="5"/>
      <c r="C228" s="7"/>
      <c r="D228" s="8"/>
      <c r="E228" s="5"/>
      <c r="F228" s="5"/>
    </row>
    <row r="229" spans="1:6" x14ac:dyDescent="0.25">
      <c r="A229" s="5"/>
      <c r="B229" s="5"/>
      <c r="C229" s="7"/>
      <c r="D229" s="8"/>
      <c r="E229" s="5"/>
      <c r="F229" s="5"/>
    </row>
    <row r="230" spans="1:6" x14ac:dyDescent="0.25">
      <c r="A230" s="5"/>
      <c r="B230" s="5"/>
      <c r="C230" s="7"/>
      <c r="D230" s="8"/>
      <c r="E230" s="5"/>
      <c r="F230" s="5"/>
    </row>
    <row r="231" spans="1:6" x14ac:dyDescent="0.25">
      <c r="A231" s="5"/>
      <c r="B231" s="5"/>
      <c r="C231" s="7"/>
      <c r="D231" s="8"/>
      <c r="E231" s="5"/>
      <c r="F231" s="5"/>
    </row>
    <row r="232" spans="1:6" x14ac:dyDescent="0.25">
      <c r="A232" s="5"/>
      <c r="B232" s="5"/>
      <c r="C232" s="7"/>
      <c r="D232" s="8"/>
      <c r="E232" s="5"/>
      <c r="F232" s="5"/>
    </row>
    <row r="233" spans="1:6" x14ac:dyDescent="0.25">
      <c r="A233" s="5"/>
      <c r="B233" s="5"/>
      <c r="C233" s="7"/>
      <c r="D233" s="8"/>
      <c r="E233" s="5"/>
      <c r="F233" s="5"/>
    </row>
    <row r="234" spans="1:6" x14ac:dyDescent="0.25">
      <c r="A234" s="5"/>
      <c r="B234" s="5"/>
      <c r="C234" s="7"/>
      <c r="D234" s="8"/>
      <c r="E234" s="5"/>
      <c r="F234" s="5"/>
    </row>
    <row r="235" spans="1:6" x14ac:dyDescent="0.25">
      <c r="A235" s="5"/>
      <c r="B235" s="5"/>
      <c r="C235" s="7"/>
      <c r="D235" s="8"/>
      <c r="E235" s="5"/>
      <c r="F235" s="5"/>
    </row>
    <row r="236" spans="1:6" x14ac:dyDescent="0.25">
      <c r="A236" s="5"/>
      <c r="B236" s="5"/>
      <c r="C236" s="7"/>
      <c r="D236" s="8"/>
      <c r="E236" s="5"/>
      <c r="F236" s="5"/>
    </row>
    <row r="237" spans="1:6" x14ac:dyDescent="0.25">
      <c r="A237" s="5"/>
      <c r="B237" s="5"/>
      <c r="C237" s="7"/>
      <c r="D237" s="8"/>
      <c r="E237" s="5"/>
      <c r="F237" s="5"/>
    </row>
    <row r="238" spans="1:6" x14ac:dyDescent="0.25">
      <c r="A238" s="5"/>
      <c r="B238" s="5"/>
      <c r="C238" s="7"/>
      <c r="D238" s="8"/>
      <c r="E238" s="5"/>
      <c r="F238" s="5"/>
    </row>
    <row r="239" spans="1:6" x14ac:dyDescent="0.25">
      <c r="A239" s="5"/>
      <c r="B239" s="5"/>
      <c r="C239" s="7"/>
      <c r="D239" s="8"/>
      <c r="E239" s="5"/>
      <c r="F239" s="5"/>
    </row>
    <row r="240" spans="1:6" x14ac:dyDescent="0.25">
      <c r="A240" s="5"/>
      <c r="B240" s="5"/>
      <c r="C240" s="7"/>
      <c r="D240" s="8"/>
      <c r="E240" s="5"/>
      <c r="F240" s="5"/>
    </row>
    <row r="241" spans="1:6" x14ac:dyDescent="0.25">
      <c r="A241" s="5"/>
      <c r="B241" s="5"/>
      <c r="C241" s="7"/>
      <c r="D241" s="8"/>
      <c r="E241" s="5"/>
      <c r="F241" s="5"/>
    </row>
    <row r="242" spans="1:6" x14ac:dyDescent="0.25">
      <c r="A242" s="5"/>
      <c r="B242" s="5"/>
      <c r="C242" s="7"/>
      <c r="D242" s="8"/>
      <c r="E242" s="5"/>
      <c r="F242" s="5"/>
    </row>
    <row r="243" spans="1:6" x14ac:dyDescent="0.25">
      <c r="A243" s="5"/>
      <c r="B243" s="5"/>
      <c r="C243" s="7"/>
      <c r="D243" s="8"/>
      <c r="E243" s="5"/>
      <c r="F243" s="5"/>
    </row>
    <row r="244" spans="1:6" x14ac:dyDescent="0.25">
      <c r="A244" s="5"/>
      <c r="B244" s="5"/>
      <c r="C244" s="7"/>
      <c r="D244" s="8"/>
      <c r="E244" s="5"/>
      <c r="F244" s="5"/>
    </row>
    <row r="245" spans="1:6" x14ac:dyDescent="0.25">
      <c r="A245" s="5"/>
      <c r="B245" s="5"/>
      <c r="C245" s="7"/>
      <c r="D245" s="8"/>
      <c r="E245" s="5"/>
      <c r="F245" s="5"/>
    </row>
    <row r="246" spans="1:6" x14ac:dyDescent="0.25">
      <c r="A246" s="5"/>
      <c r="B246" s="5"/>
      <c r="C246" s="7"/>
      <c r="D246" s="8"/>
      <c r="E246" s="5"/>
      <c r="F246" s="5"/>
    </row>
    <row r="247" spans="1:6" x14ac:dyDescent="0.25">
      <c r="A247" s="5"/>
      <c r="B247" s="5"/>
      <c r="C247" s="7"/>
      <c r="D247" s="8"/>
      <c r="E247" s="5"/>
      <c r="F247" s="5"/>
    </row>
    <row r="248" spans="1:6" x14ac:dyDescent="0.25">
      <c r="A248" s="5"/>
      <c r="B248" s="5"/>
      <c r="C248" s="7"/>
      <c r="D248" s="8"/>
      <c r="E248" s="5"/>
      <c r="F248" s="5"/>
    </row>
    <row r="249" spans="1:6" x14ac:dyDescent="0.25">
      <c r="A249" s="5"/>
      <c r="B249" s="5"/>
      <c r="C249" s="7"/>
      <c r="D249" s="8"/>
      <c r="E249" s="5"/>
      <c r="F249" s="5"/>
    </row>
    <row r="250" spans="1:6" x14ac:dyDescent="0.25">
      <c r="A250" s="5"/>
      <c r="B250" s="5"/>
      <c r="C250" s="7"/>
      <c r="D250" s="8"/>
      <c r="E250" s="5"/>
      <c r="F250" s="5"/>
    </row>
    <row r="251" spans="1:6" x14ac:dyDescent="0.25">
      <c r="A251" s="5"/>
      <c r="B251" s="5"/>
      <c r="C251" s="7"/>
      <c r="D251" s="8"/>
      <c r="E251" s="5"/>
      <c r="F251" s="5"/>
    </row>
    <row r="252" spans="1:6" x14ac:dyDescent="0.25">
      <c r="A252" s="5"/>
      <c r="B252" s="5"/>
      <c r="C252" s="7"/>
      <c r="D252" s="8"/>
      <c r="E252" s="5"/>
      <c r="F252" s="5"/>
    </row>
    <row r="253" spans="1:6" x14ac:dyDescent="0.25">
      <c r="A253" s="5"/>
      <c r="B253" s="5"/>
      <c r="C253" s="7"/>
      <c r="D253" s="8"/>
      <c r="E253" s="5"/>
      <c r="F253" s="5"/>
    </row>
    <row r="254" spans="1:6" x14ac:dyDescent="0.25">
      <c r="A254" s="5"/>
      <c r="B254" s="5"/>
      <c r="C254" s="7"/>
      <c r="D254" s="8"/>
      <c r="E254" s="5"/>
      <c r="F254" s="5"/>
    </row>
    <row r="255" spans="1:6" x14ac:dyDescent="0.25">
      <c r="A255" s="5"/>
      <c r="B255" s="5"/>
      <c r="C255" s="7"/>
      <c r="D255" s="8"/>
      <c r="E255" s="5"/>
      <c r="F255" s="5"/>
    </row>
    <row r="256" spans="1:6" x14ac:dyDescent="0.25">
      <c r="A256" s="5"/>
      <c r="B256" s="5"/>
      <c r="C256" s="7"/>
      <c r="D256" s="8"/>
      <c r="E256" s="5"/>
      <c r="F256" s="5"/>
    </row>
    <row r="257" spans="1:6" x14ac:dyDescent="0.25">
      <c r="A257" s="5"/>
      <c r="B257" s="5"/>
      <c r="C257" s="7"/>
      <c r="D257" s="8"/>
      <c r="E257" s="5"/>
      <c r="F257" s="5"/>
    </row>
    <row r="258" spans="1:6" x14ac:dyDescent="0.25">
      <c r="A258" s="5"/>
      <c r="B258" s="5"/>
      <c r="C258" s="7"/>
      <c r="D258" s="8"/>
      <c r="E258" s="5"/>
      <c r="F258" s="5"/>
    </row>
    <row r="259" spans="1:6" x14ac:dyDescent="0.25">
      <c r="A259" s="5"/>
      <c r="B259" s="5"/>
      <c r="C259" s="7"/>
      <c r="D259" s="8"/>
      <c r="E259" s="5"/>
      <c r="F259" s="5"/>
    </row>
    <row r="260" spans="1:6" x14ac:dyDescent="0.25">
      <c r="A260" s="5"/>
      <c r="B260" s="5"/>
      <c r="C260" s="7"/>
      <c r="D260" s="8"/>
      <c r="E260" s="5"/>
      <c r="F260" s="5"/>
    </row>
    <row r="261" spans="1:6" x14ac:dyDescent="0.25">
      <c r="A261" s="5"/>
      <c r="B261" s="5"/>
      <c r="C261" s="7"/>
      <c r="D261" s="8"/>
      <c r="E261" s="5"/>
      <c r="F261" s="5"/>
    </row>
    <row r="262" spans="1:6" x14ac:dyDescent="0.25">
      <c r="A262" s="5"/>
      <c r="B262" s="5"/>
      <c r="C262" s="7"/>
      <c r="D262" s="8"/>
      <c r="E262" s="5"/>
      <c r="F262" s="5"/>
    </row>
    <row r="263" spans="1:6" x14ac:dyDescent="0.25">
      <c r="A263" s="5"/>
      <c r="B263" s="5"/>
      <c r="C263" s="7"/>
      <c r="D263" s="8"/>
      <c r="E263" s="5"/>
      <c r="F263" s="5"/>
    </row>
    <row r="264" spans="1:6" x14ac:dyDescent="0.25">
      <c r="A264" s="5"/>
      <c r="B264" s="5"/>
      <c r="C264" s="7"/>
      <c r="D264" s="8"/>
      <c r="E264" s="5"/>
      <c r="F264" s="5"/>
    </row>
    <row r="265" spans="1:6" x14ac:dyDescent="0.25">
      <c r="A265" s="5"/>
      <c r="B265" s="5"/>
      <c r="C265" s="7"/>
      <c r="D265" s="8"/>
      <c r="E265" s="5"/>
      <c r="F265" s="5"/>
    </row>
    <row r="266" spans="1:6" x14ac:dyDescent="0.25">
      <c r="A266" s="5"/>
      <c r="B266" s="5"/>
      <c r="C266" s="7"/>
      <c r="D266" s="8"/>
      <c r="E266" s="5"/>
      <c r="F266" s="5"/>
    </row>
    <row r="267" spans="1:6" x14ac:dyDescent="0.25">
      <c r="A267" s="5"/>
      <c r="B267" s="5"/>
      <c r="C267" s="7"/>
      <c r="D267" s="8"/>
      <c r="E267" s="5"/>
      <c r="F267" s="5"/>
    </row>
    <row r="268" spans="1:6" x14ac:dyDescent="0.25">
      <c r="A268" s="5"/>
      <c r="B268" s="5"/>
      <c r="C268" s="7"/>
      <c r="D268" s="8"/>
      <c r="E268" s="5"/>
      <c r="F268" s="5"/>
    </row>
    <row r="269" spans="1:6" x14ac:dyDescent="0.25">
      <c r="A269" s="5"/>
      <c r="B269" s="5"/>
      <c r="C269" s="7"/>
      <c r="D269" s="8"/>
      <c r="E269" s="5"/>
      <c r="F269" s="5"/>
    </row>
    <row r="270" spans="1:6" x14ac:dyDescent="0.25">
      <c r="A270" s="5"/>
      <c r="B270" s="5"/>
      <c r="C270" s="7"/>
      <c r="D270" s="8"/>
      <c r="E270" s="5"/>
      <c r="F270" s="5"/>
    </row>
    <row r="271" spans="1:6" x14ac:dyDescent="0.25">
      <c r="A271" s="5"/>
      <c r="B271" s="5"/>
      <c r="C271" s="7"/>
      <c r="D271" s="8"/>
      <c r="E271" s="5"/>
      <c r="F271" s="5"/>
    </row>
    <row r="272" spans="1:6" x14ac:dyDescent="0.25">
      <c r="A272" s="5"/>
      <c r="B272" s="5"/>
      <c r="C272" s="7"/>
      <c r="D272" s="8"/>
      <c r="E272" s="5"/>
      <c r="F272" s="5"/>
    </row>
    <row r="273" spans="1:6" x14ac:dyDescent="0.25">
      <c r="A273" s="5"/>
      <c r="B273" s="5"/>
      <c r="C273" s="7"/>
      <c r="D273" s="8"/>
      <c r="E273" s="5"/>
      <c r="F273" s="5"/>
    </row>
    <row r="274" spans="1:6" x14ac:dyDescent="0.25">
      <c r="A274" s="5"/>
      <c r="B274" s="5"/>
      <c r="C274" s="7"/>
      <c r="D274" s="8"/>
      <c r="E274" s="5"/>
      <c r="F274" s="5"/>
    </row>
    <row r="275" spans="1:6" x14ac:dyDescent="0.25">
      <c r="A275" s="5"/>
      <c r="B275" s="5"/>
      <c r="C275" s="7"/>
      <c r="D275" s="8"/>
      <c r="E275" s="5"/>
      <c r="F275" s="5"/>
    </row>
    <row r="276" spans="1:6" x14ac:dyDescent="0.25">
      <c r="A276" s="5"/>
      <c r="B276" s="5"/>
      <c r="C276" s="7"/>
      <c r="D276" s="8"/>
      <c r="E276" s="5"/>
      <c r="F276" s="5"/>
    </row>
    <row r="277" spans="1:6" x14ac:dyDescent="0.25">
      <c r="A277" s="5"/>
      <c r="B277" s="5"/>
      <c r="C277" s="7"/>
      <c r="D277" s="8"/>
      <c r="E277" s="5"/>
      <c r="F277" s="5"/>
    </row>
    <row r="278" spans="1:6" x14ac:dyDescent="0.25">
      <c r="A278" s="5"/>
      <c r="B278" s="5"/>
      <c r="C278" s="7"/>
      <c r="D278" s="8"/>
      <c r="E278" s="5"/>
      <c r="F278" s="5"/>
    </row>
    <row r="279" spans="1:6" x14ac:dyDescent="0.25">
      <c r="A279" s="5"/>
      <c r="B279" s="5"/>
      <c r="C279" s="7"/>
      <c r="D279" s="8"/>
      <c r="E279" s="5"/>
      <c r="F279" s="5"/>
    </row>
    <row r="280" spans="1:6" x14ac:dyDescent="0.25">
      <c r="A280" s="5"/>
      <c r="B280" s="5"/>
      <c r="C280" s="7"/>
      <c r="D280" s="8"/>
      <c r="E280" s="5"/>
      <c r="F280" s="5"/>
    </row>
    <row r="281" spans="1:6" x14ac:dyDescent="0.25">
      <c r="A281" s="5"/>
      <c r="B281" s="5"/>
      <c r="C281" s="7"/>
      <c r="D281" s="8"/>
      <c r="E281" s="5"/>
      <c r="F281" s="5"/>
    </row>
    <row r="282" spans="1:6" x14ac:dyDescent="0.25">
      <c r="A282" s="5"/>
      <c r="B282" s="5"/>
      <c r="C282" s="7"/>
      <c r="D282" s="8"/>
      <c r="E282" s="5"/>
      <c r="F282" s="5"/>
    </row>
    <row r="283" spans="1:6" x14ac:dyDescent="0.25">
      <c r="A283" s="5"/>
      <c r="B283" s="5"/>
      <c r="C283" s="7"/>
      <c r="D283" s="8"/>
      <c r="E283" s="5"/>
      <c r="F283" s="5"/>
    </row>
    <row r="284" spans="1:6" x14ac:dyDescent="0.25">
      <c r="A284" s="5"/>
      <c r="B284" s="5"/>
      <c r="C284" s="7"/>
      <c r="D284" s="8"/>
      <c r="E284" s="5"/>
      <c r="F284" s="5"/>
    </row>
    <row r="285" spans="1:6" x14ac:dyDescent="0.25">
      <c r="A285" s="5"/>
      <c r="B285" s="5"/>
      <c r="C285" s="7"/>
      <c r="D285" s="8"/>
      <c r="E285" s="5"/>
      <c r="F285" s="5"/>
    </row>
    <row r="286" spans="1:6" x14ac:dyDescent="0.25">
      <c r="A286" s="5"/>
      <c r="B286" s="5"/>
      <c r="C286" s="7"/>
      <c r="D286" s="8"/>
      <c r="E286" s="5"/>
      <c r="F286" s="5"/>
    </row>
    <row r="287" spans="1:6" x14ac:dyDescent="0.25">
      <c r="A287" s="5"/>
      <c r="B287" s="5"/>
      <c r="C287" s="7"/>
      <c r="D287" s="8"/>
      <c r="E287" s="5"/>
      <c r="F287" s="5"/>
    </row>
    <row r="288" spans="1:6" x14ac:dyDescent="0.25">
      <c r="A288" s="5"/>
      <c r="B288" s="5"/>
      <c r="C288" s="7"/>
      <c r="D288" s="8"/>
      <c r="E288" s="5"/>
      <c r="F288" s="5"/>
    </row>
    <row r="289" spans="1:6" x14ac:dyDescent="0.25">
      <c r="A289" s="5"/>
      <c r="B289" s="5"/>
      <c r="C289" s="7"/>
      <c r="D289" s="8"/>
      <c r="E289" s="5"/>
      <c r="F289" s="5"/>
    </row>
    <row r="290" spans="1:6" x14ac:dyDescent="0.25">
      <c r="A290" s="5"/>
      <c r="B290" s="5"/>
      <c r="C290" s="7"/>
      <c r="D290" s="8"/>
      <c r="E290" s="5"/>
      <c r="F290" s="5"/>
    </row>
    <row r="291" spans="1:6" x14ac:dyDescent="0.25">
      <c r="A291" s="5"/>
      <c r="B291" s="5"/>
      <c r="C291" s="7"/>
      <c r="D291" s="8"/>
      <c r="E291" s="5"/>
      <c r="F291" s="5"/>
    </row>
    <row r="292" spans="1:6" x14ac:dyDescent="0.25">
      <c r="A292" s="5"/>
      <c r="B292" s="5"/>
      <c r="C292" s="7"/>
      <c r="D292" s="8"/>
      <c r="E292" s="5"/>
      <c r="F292" s="5"/>
    </row>
    <row r="293" spans="1:6" x14ac:dyDescent="0.25">
      <c r="A293" s="5"/>
      <c r="B293" s="5"/>
      <c r="C293" s="7"/>
      <c r="D293" s="8"/>
      <c r="E293" s="5"/>
      <c r="F293" s="5"/>
    </row>
    <row r="294" spans="1:6" x14ac:dyDescent="0.25">
      <c r="A294" s="5"/>
      <c r="B294" s="5"/>
      <c r="C294" s="7"/>
      <c r="D294" s="8"/>
      <c r="E294" s="5"/>
      <c r="F294" s="5"/>
    </row>
    <row r="295" spans="1:6" x14ac:dyDescent="0.25">
      <c r="A295" s="5"/>
      <c r="B295" s="5"/>
      <c r="C295" s="7"/>
      <c r="D295" s="8"/>
      <c r="E295" s="5"/>
      <c r="F295" s="5"/>
    </row>
    <row r="296" spans="1:6" x14ac:dyDescent="0.25">
      <c r="A296" s="5"/>
      <c r="B296" s="5"/>
      <c r="C296" s="7"/>
      <c r="D296" s="8"/>
      <c r="E296" s="5"/>
      <c r="F296" s="5"/>
    </row>
    <row r="297" spans="1:6" x14ac:dyDescent="0.25">
      <c r="A297" s="5"/>
      <c r="B297" s="5"/>
      <c r="C297" s="7"/>
      <c r="D297" s="8"/>
      <c r="E297" s="5"/>
      <c r="F297" s="5"/>
    </row>
    <row r="298" spans="1:6" x14ac:dyDescent="0.25">
      <c r="A298" s="5"/>
      <c r="B298" s="5"/>
      <c r="C298" s="7"/>
      <c r="D298" s="8"/>
      <c r="E298" s="5"/>
      <c r="F298" s="5"/>
    </row>
    <row r="299" spans="1:6" x14ac:dyDescent="0.25">
      <c r="A299" s="5"/>
      <c r="B299" s="5"/>
      <c r="C299" s="7"/>
      <c r="D299" s="8"/>
      <c r="E299" s="5"/>
      <c r="F299" s="5"/>
    </row>
    <row r="300" spans="1:6" x14ac:dyDescent="0.25">
      <c r="A300" s="5"/>
      <c r="B300" s="5"/>
      <c r="C300" s="7"/>
      <c r="D300" s="8"/>
      <c r="E300" s="5"/>
      <c r="F300" s="5"/>
    </row>
    <row r="301" spans="1:6" x14ac:dyDescent="0.25">
      <c r="A301" s="5"/>
      <c r="B301" s="5"/>
      <c r="C301" s="7"/>
      <c r="D301" s="8"/>
      <c r="E301" s="5"/>
      <c r="F301" s="5"/>
    </row>
    <row r="302" spans="1:6" x14ac:dyDescent="0.25">
      <c r="A302" s="5"/>
      <c r="B302" s="5"/>
      <c r="C302" s="7"/>
      <c r="D302" s="8"/>
      <c r="E302" s="5"/>
      <c r="F302" s="5"/>
    </row>
    <row r="303" spans="1:6" x14ac:dyDescent="0.25">
      <c r="A303" s="5"/>
      <c r="B303" s="5"/>
      <c r="C303" s="7"/>
      <c r="D303" s="8"/>
      <c r="E303" s="5"/>
      <c r="F303" s="5"/>
    </row>
    <row r="304" spans="1:6" x14ac:dyDescent="0.25">
      <c r="A304" s="5"/>
      <c r="B304" s="5"/>
      <c r="C304" s="7"/>
      <c r="D304" s="8"/>
      <c r="E304" s="5"/>
      <c r="F304" s="5"/>
    </row>
    <row r="305" spans="1:6" x14ac:dyDescent="0.25">
      <c r="A305" s="5"/>
      <c r="B305" s="5"/>
      <c r="C305" s="7"/>
      <c r="D305" s="8"/>
      <c r="E305" s="5"/>
      <c r="F305" s="5"/>
    </row>
    <row r="306" spans="1:6" x14ac:dyDescent="0.25">
      <c r="A306" s="5"/>
      <c r="B306" s="5"/>
      <c r="C306" s="7"/>
      <c r="D306" s="8"/>
      <c r="E306" s="5"/>
      <c r="F306" s="5"/>
    </row>
    <row r="307" spans="1:6" x14ac:dyDescent="0.25">
      <c r="A307" s="5"/>
      <c r="B307" s="5"/>
      <c r="C307" s="7"/>
      <c r="D307" s="8"/>
      <c r="E307" s="5"/>
      <c r="F307" s="5"/>
    </row>
    <row r="308" spans="1:6" x14ac:dyDescent="0.25">
      <c r="A308" s="5"/>
      <c r="B308" s="5"/>
      <c r="C308" s="7"/>
      <c r="D308" s="8"/>
      <c r="E308" s="5"/>
      <c r="F308" s="5"/>
    </row>
    <row r="309" spans="1:6" x14ac:dyDescent="0.25">
      <c r="A309" s="5"/>
      <c r="B309" s="5"/>
      <c r="C309" s="7"/>
      <c r="D309" s="8"/>
      <c r="E309" s="5"/>
      <c r="F309" s="5"/>
    </row>
    <row r="310" spans="1:6" x14ac:dyDescent="0.25">
      <c r="A310" s="5"/>
      <c r="B310" s="5"/>
      <c r="C310" s="7"/>
      <c r="D310" s="8"/>
      <c r="E310" s="5"/>
      <c r="F310" s="5"/>
    </row>
    <row r="311" spans="1:6" x14ac:dyDescent="0.25">
      <c r="A311" s="5"/>
      <c r="B311" s="5"/>
      <c r="C311" s="7"/>
      <c r="D311" s="8"/>
      <c r="E311" s="5"/>
      <c r="F311" s="5"/>
    </row>
    <row r="312" spans="1:6" x14ac:dyDescent="0.25">
      <c r="A312" s="5"/>
      <c r="B312" s="5"/>
      <c r="C312" s="7"/>
      <c r="D312" s="8"/>
      <c r="E312" s="5"/>
      <c r="F312" s="5"/>
    </row>
    <row r="313" spans="1:6" x14ac:dyDescent="0.25">
      <c r="A313" s="5"/>
      <c r="B313" s="5"/>
      <c r="C313" s="7"/>
      <c r="D313" s="8"/>
      <c r="E313" s="5"/>
      <c r="F313" s="5"/>
    </row>
    <row r="314" spans="1:6" x14ac:dyDescent="0.25">
      <c r="A314" s="5"/>
      <c r="B314" s="5"/>
      <c r="C314" s="7"/>
      <c r="D314" s="8"/>
      <c r="E314" s="5"/>
      <c r="F314" s="5"/>
    </row>
    <row r="315" spans="1:6" x14ac:dyDescent="0.25">
      <c r="A315" s="5"/>
      <c r="B315" s="5"/>
      <c r="C315" s="7"/>
      <c r="D315" s="8"/>
      <c r="E315" s="5"/>
      <c r="F315" s="5"/>
    </row>
    <row r="316" spans="1:6" x14ac:dyDescent="0.25">
      <c r="A316" s="5"/>
      <c r="B316" s="5"/>
      <c r="C316" s="7"/>
      <c r="D316" s="8"/>
      <c r="E316" s="5"/>
      <c r="F316" s="5"/>
    </row>
    <row r="317" spans="1:6" x14ac:dyDescent="0.25">
      <c r="A317" s="5"/>
      <c r="B317" s="5"/>
      <c r="C317" s="7"/>
      <c r="D317" s="8"/>
      <c r="E317" s="5"/>
      <c r="F317" s="5"/>
    </row>
    <row r="318" spans="1:6" x14ac:dyDescent="0.25">
      <c r="A318" s="5"/>
      <c r="B318" s="5"/>
      <c r="C318" s="7"/>
      <c r="D318" s="8"/>
      <c r="E318" s="5"/>
      <c r="F318" s="5"/>
    </row>
    <row r="319" spans="1:6" x14ac:dyDescent="0.25">
      <c r="A319" s="5"/>
      <c r="B319" s="5"/>
      <c r="C319" s="7"/>
      <c r="D319" s="8"/>
      <c r="E319" s="5"/>
      <c r="F319" s="5"/>
    </row>
    <row r="320" spans="1:6" x14ac:dyDescent="0.25">
      <c r="A320" s="5"/>
      <c r="B320" s="5"/>
      <c r="C320" s="7"/>
      <c r="D320" s="8"/>
      <c r="E320" s="5"/>
      <c r="F320" s="5"/>
    </row>
    <row r="321" spans="1:6" x14ac:dyDescent="0.25">
      <c r="A321" s="5"/>
      <c r="B321" s="5"/>
      <c r="C321" s="7"/>
      <c r="D321" s="8"/>
      <c r="E321" s="5"/>
      <c r="F321" s="5"/>
    </row>
    <row r="322" spans="1:6" x14ac:dyDescent="0.25">
      <c r="A322" s="5"/>
      <c r="B322" s="5"/>
      <c r="C322" s="7"/>
      <c r="D322" s="8"/>
      <c r="E322" s="5"/>
      <c r="F322" s="5"/>
    </row>
    <row r="323" spans="1:6" x14ac:dyDescent="0.25">
      <c r="A323" s="5"/>
      <c r="B323" s="5"/>
      <c r="C323" s="7"/>
      <c r="D323" s="8"/>
      <c r="E323" s="5"/>
      <c r="F323" s="5"/>
    </row>
    <row r="324" spans="1:6" x14ac:dyDescent="0.25">
      <c r="A324" s="5"/>
      <c r="B324" s="5"/>
      <c r="C324" s="7"/>
      <c r="D324" s="8"/>
      <c r="E324" s="5"/>
      <c r="F324" s="5"/>
    </row>
    <row r="325" spans="1:6" x14ac:dyDescent="0.25">
      <c r="A325" s="5"/>
      <c r="B325" s="5"/>
      <c r="C325" s="7"/>
      <c r="D325" s="8"/>
      <c r="E325" s="5"/>
      <c r="F325" s="5"/>
    </row>
    <row r="326" spans="1:6" x14ac:dyDescent="0.25">
      <c r="A326" s="5"/>
      <c r="B326" s="5"/>
      <c r="C326" s="7"/>
      <c r="D326" s="8"/>
      <c r="E326" s="5"/>
      <c r="F326" s="5"/>
    </row>
    <row r="327" spans="1:6" x14ac:dyDescent="0.25">
      <c r="A327" s="5"/>
      <c r="B327" s="5"/>
      <c r="C327" s="7"/>
      <c r="D327" s="8"/>
      <c r="E327" s="5"/>
      <c r="F327" s="5"/>
    </row>
    <row r="328" spans="1:6" x14ac:dyDescent="0.25">
      <c r="A328" s="5"/>
      <c r="B328" s="5"/>
      <c r="C328" s="7"/>
      <c r="D328" s="8"/>
      <c r="E328" s="5"/>
      <c r="F328" s="5"/>
    </row>
    <row r="329" spans="1:6" x14ac:dyDescent="0.25">
      <c r="A329" s="5"/>
      <c r="B329" s="5"/>
      <c r="C329" s="7"/>
      <c r="D329" s="8"/>
      <c r="E329" s="5"/>
      <c r="F329" s="5"/>
    </row>
    <row r="330" spans="1:6" x14ac:dyDescent="0.25">
      <c r="A330" s="5"/>
      <c r="B330" s="5"/>
      <c r="C330" s="7"/>
      <c r="D330" s="8"/>
      <c r="E330" s="5"/>
      <c r="F330" s="5"/>
    </row>
    <row r="331" spans="1:6" x14ac:dyDescent="0.25">
      <c r="A331" s="5"/>
      <c r="B331" s="5"/>
      <c r="C331" s="7"/>
      <c r="D331" s="8"/>
      <c r="E331" s="5"/>
      <c r="F331" s="5"/>
    </row>
    <row r="332" spans="1:6" x14ac:dyDescent="0.25">
      <c r="A332" s="5"/>
      <c r="B332" s="5"/>
      <c r="C332" s="7"/>
      <c r="D332" s="8"/>
      <c r="E332" s="5"/>
      <c r="F332" s="5"/>
    </row>
    <row r="333" spans="1:6" x14ac:dyDescent="0.25">
      <c r="A333" s="5"/>
      <c r="B333" s="5"/>
      <c r="C333" s="7"/>
      <c r="D333" s="8"/>
      <c r="E333" s="5"/>
      <c r="F333" s="5"/>
    </row>
    <row r="334" spans="1:6" x14ac:dyDescent="0.25">
      <c r="A334" s="5"/>
      <c r="B334" s="5"/>
      <c r="C334" s="7"/>
      <c r="D334" s="8"/>
      <c r="E334" s="5"/>
      <c r="F334" s="5"/>
    </row>
    <row r="335" spans="1:6" x14ac:dyDescent="0.25">
      <c r="A335" s="5"/>
      <c r="B335" s="5"/>
      <c r="C335" s="7"/>
      <c r="D335" s="8"/>
      <c r="E335" s="5"/>
      <c r="F335" s="5"/>
    </row>
    <row r="336" spans="1:6" x14ac:dyDescent="0.25">
      <c r="A336" s="5"/>
      <c r="B336" s="5"/>
      <c r="C336" s="7"/>
      <c r="D336" s="8"/>
      <c r="E336" s="5"/>
      <c r="F336" s="5"/>
    </row>
    <row r="337" spans="1:6" x14ac:dyDescent="0.25">
      <c r="A337" s="5"/>
      <c r="B337" s="5"/>
      <c r="C337" s="7"/>
      <c r="D337" s="8"/>
      <c r="E337" s="5"/>
      <c r="F337" s="5"/>
    </row>
    <row r="338" spans="1:6" x14ac:dyDescent="0.25">
      <c r="A338" s="5"/>
      <c r="B338" s="5"/>
      <c r="C338" s="7"/>
      <c r="D338" s="8"/>
      <c r="E338" s="5"/>
      <c r="F338" s="5"/>
    </row>
    <row r="339" spans="1:6" x14ac:dyDescent="0.25">
      <c r="A339" s="5"/>
      <c r="B339" s="5"/>
      <c r="C339" s="7"/>
      <c r="D339" s="8"/>
      <c r="E339" s="5"/>
      <c r="F339" s="5"/>
    </row>
    <row r="340" spans="1:6" x14ac:dyDescent="0.25">
      <c r="A340" s="5"/>
      <c r="B340" s="5"/>
      <c r="C340" s="7"/>
      <c r="D340" s="8"/>
      <c r="E340" s="5"/>
      <c r="F340" s="5"/>
    </row>
    <row r="341" spans="1:6" x14ac:dyDescent="0.25">
      <c r="A341" s="5"/>
      <c r="B341" s="5"/>
      <c r="C341" s="7"/>
      <c r="D341" s="8"/>
      <c r="E341" s="5"/>
      <c r="F341" s="5"/>
    </row>
    <row r="342" spans="1:6" x14ac:dyDescent="0.25">
      <c r="A342" s="5"/>
      <c r="B342" s="5"/>
      <c r="C342" s="7"/>
      <c r="D342" s="8"/>
      <c r="E342" s="5"/>
      <c r="F342" s="5"/>
    </row>
    <row r="343" spans="1:6" x14ac:dyDescent="0.25">
      <c r="A343" s="5"/>
      <c r="B343" s="5"/>
      <c r="C343" s="7"/>
      <c r="D343" s="8"/>
      <c r="E343" s="5"/>
      <c r="F343" s="5"/>
    </row>
    <row r="344" spans="1:6" x14ac:dyDescent="0.25">
      <c r="A344" s="5"/>
      <c r="B344" s="5"/>
      <c r="C344" s="7"/>
      <c r="D344" s="8"/>
      <c r="E344" s="5"/>
      <c r="F344" s="5"/>
    </row>
    <row r="345" spans="1:6" x14ac:dyDescent="0.25">
      <c r="A345" s="5"/>
      <c r="B345" s="5"/>
      <c r="C345" s="7"/>
      <c r="D345" s="8"/>
      <c r="E345" s="5"/>
      <c r="F345" s="5"/>
    </row>
    <row r="346" spans="1:6" x14ac:dyDescent="0.25">
      <c r="A346" s="5"/>
      <c r="B346" s="5"/>
      <c r="C346" s="7"/>
      <c r="D346" s="8"/>
      <c r="E346" s="5"/>
      <c r="F346" s="5"/>
    </row>
    <row r="347" spans="1:6" x14ac:dyDescent="0.25">
      <c r="A347" s="5"/>
      <c r="B347" s="5"/>
      <c r="C347" s="7"/>
      <c r="D347" s="8"/>
      <c r="E347" s="5"/>
      <c r="F347" s="5"/>
    </row>
    <row r="348" spans="1:6" x14ac:dyDescent="0.25">
      <c r="A348" s="5"/>
      <c r="B348" s="5"/>
      <c r="C348" s="7"/>
      <c r="D348" s="8"/>
      <c r="E348" s="5"/>
      <c r="F348" s="5"/>
    </row>
    <row r="349" spans="1:6" x14ac:dyDescent="0.25">
      <c r="A349" s="5"/>
      <c r="B349" s="5"/>
      <c r="C349" s="7"/>
      <c r="D349" s="8"/>
      <c r="E349" s="5"/>
      <c r="F349" s="5"/>
    </row>
    <row r="350" spans="1:6" x14ac:dyDescent="0.25">
      <c r="A350" s="5"/>
      <c r="B350" s="5"/>
      <c r="C350" s="7"/>
      <c r="D350" s="8"/>
      <c r="E350" s="5"/>
      <c r="F350" s="5"/>
    </row>
    <row r="351" spans="1:6" x14ac:dyDescent="0.25">
      <c r="A351" s="5"/>
      <c r="B351" s="5"/>
      <c r="C351" s="7"/>
      <c r="D351" s="8"/>
      <c r="E351" s="5"/>
      <c r="F351" s="5"/>
    </row>
    <row r="352" spans="1:6" x14ac:dyDescent="0.25">
      <c r="A352" s="5"/>
      <c r="B352" s="5"/>
      <c r="C352" s="7"/>
      <c r="D352" s="8"/>
      <c r="E352" s="5"/>
      <c r="F352" s="5"/>
    </row>
    <row r="353" spans="1:6" x14ac:dyDescent="0.25">
      <c r="A353" s="5"/>
      <c r="B353" s="5"/>
      <c r="C353" s="7"/>
      <c r="D353" s="8"/>
      <c r="E353" s="5"/>
      <c r="F353" s="5"/>
    </row>
    <row r="354" spans="1:6" x14ac:dyDescent="0.25">
      <c r="A354" s="5"/>
      <c r="B354" s="5"/>
      <c r="C354" s="7"/>
      <c r="D354" s="8"/>
      <c r="E354" s="5"/>
      <c r="F354" s="5"/>
    </row>
    <row r="355" spans="1:6" x14ac:dyDescent="0.25">
      <c r="A355" s="5"/>
      <c r="B355" s="5"/>
      <c r="C355" s="7"/>
      <c r="D355" s="8"/>
      <c r="E355" s="5"/>
      <c r="F355" s="5"/>
    </row>
    <row r="356" spans="1:6" x14ac:dyDescent="0.25">
      <c r="A356" s="5"/>
      <c r="B356" s="5"/>
      <c r="C356" s="7"/>
      <c r="D356" s="8"/>
      <c r="E356" s="5"/>
      <c r="F356" s="5"/>
    </row>
    <row r="357" spans="1:6" x14ac:dyDescent="0.25">
      <c r="A357" s="5"/>
      <c r="B357" s="5"/>
      <c r="C357" s="7"/>
      <c r="D357" s="8"/>
      <c r="E357" s="5"/>
      <c r="F357" s="5"/>
    </row>
    <row r="358" spans="1:6" x14ac:dyDescent="0.25">
      <c r="A358" s="5"/>
      <c r="B358" s="5"/>
      <c r="C358" s="7"/>
      <c r="D358" s="8"/>
      <c r="E358" s="5"/>
      <c r="F358" s="5"/>
    </row>
    <row r="359" spans="1:6" x14ac:dyDescent="0.25">
      <c r="A359" s="5"/>
      <c r="B359" s="5"/>
      <c r="C359" s="7"/>
      <c r="D359" s="8"/>
      <c r="E359" s="5"/>
      <c r="F359" s="5"/>
    </row>
    <row r="360" spans="1:6" x14ac:dyDescent="0.25">
      <c r="A360" s="5"/>
      <c r="B360" s="5"/>
      <c r="C360" s="7"/>
      <c r="D360" s="8"/>
      <c r="E360" s="5"/>
      <c r="F360" s="5"/>
    </row>
    <row r="361" spans="1:6" x14ac:dyDescent="0.25">
      <c r="A361" s="5"/>
      <c r="B361" s="5"/>
      <c r="C361" s="7"/>
      <c r="D361" s="8"/>
      <c r="E361" s="5"/>
      <c r="F361" s="5"/>
    </row>
    <row r="362" spans="1:6" x14ac:dyDescent="0.25">
      <c r="A362" s="5"/>
      <c r="B362" s="5"/>
      <c r="C362" s="7"/>
      <c r="D362" s="8"/>
      <c r="E362" s="5"/>
      <c r="F362" s="5"/>
    </row>
    <row r="363" spans="1:6" x14ac:dyDescent="0.25">
      <c r="A363" s="5"/>
      <c r="B363" s="5"/>
      <c r="C363" s="7"/>
      <c r="D363" s="8"/>
      <c r="E363" s="5"/>
      <c r="F363" s="5"/>
    </row>
    <row r="364" spans="1:6" x14ac:dyDescent="0.25">
      <c r="A364" s="5"/>
      <c r="B364" s="5"/>
      <c r="C364" s="7"/>
      <c r="D364" s="8"/>
      <c r="E364" s="5"/>
      <c r="F364" s="5"/>
    </row>
    <row r="365" spans="1:6" x14ac:dyDescent="0.25">
      <c r="A365" s="5"/>
      <c r="B365" s="5"/>
      <c r="C365" s="7"/>
      <c r="D365" s="8"/>
      <c r="E365" s="5"/>
      <c r="F365" s="5"/>
    </row>
    <row r="366" spans="1:6" x14ac:dyDescent="0.25">
      <c r="A366" s="5"/>
      <c r="B366" s="5"/>
      <c r="C366" s="7"/>
      <c r="D366" s="8"/>
      <c r="E366" s="5"/>
      <c r="F366" s="5"/>
    </row>
    <row r="367" spans="1:6" x14ac:dyDescent="0.25">
      <c r="A367" s="5"/>
      <c r="B367" s="5"/>
      <c r="C367" s="7"/>
      <c r="D367" s="8"/>
      <c r="E367" s="5"/>
      <c r="F367" s="5"/>
    </row>
    <row r="368" spans="1:6" x14ac:dyDescent="0.25">
      <c r="A368" s="5"/>
      <c r="B368" s="5"/>
      <c r="C368" s="7"/>
      <c r="D368" s="8"/>
      <c r="E368" s="5"/>
      <c r="F368" s="5"/>
    </row>
    <row r="369" spans="1:6" x14ac:dyDescent="0.25">
      <c r="A369" s="5"/>
      <c r="B369" s="5"/>
      <c r="C369" s="7"/>
      <c r="D369" s="8"/>
      <c r="E369" s="5"/>
      <c r="F369" s="5"/>
    </row>
    <row r="370" spans="1:6" x14ac:dyDescent="0.25">
      <c r="A370" s="5"/>
      <c r="B370" s="5"/>
      <c r="C370" s="7"/>
      <c r="D370" s="8"/>
      <c r="E370" s="5"/>
      <c r="F370" s="5"/>
    </row>
    <row r="371" spans="1:6" x14ac:dyDescent="0.25">
      <c r="A371" s="5"/>
      <c r="B371" s="5"/>
      <c r="C371" s="7"/>
      <c r="D371" s="8"/>
      <c r="E371" s="5"/>
      <c r="F371" s="5"/>
    </row>
    <row r="372" spans="1:6" x14ac:dyDescent="0.25">
      <c r="A372" s="5"/>
      <c r="B372" s="5"/>
      <c r="C372" s="7"/>
      <c r="D372" s="8"/>
      <c r="E372" s="5"/>
      <c r="F372" s="5"/>
    </row>
    <row r="373" spans="1:6" x14ac:dyDescent="0.25">
      <c r="A373" s="5"/>
      <c r="B373" s="5"/>
      <c r="C373" s="7"/>
      <c r="D373" s="8"/>
      <c r="E373" s="5"/>
      <c r="F373" s="5"/>
    </row>
    <row r="374" spans="1:6" x14ac:dyDescent="0.25">
      <c r="A374" s="5"/>
      <c r="B374" s="5"/>
      <c r="C374" s="7"/>
      <c r="D374" s="8"/>
      <c r="E374" s="5"/>
      <c r="F374" s="5"/>
    </row>
    <row r="375" spans="1:6" x14ac:dyDescent="0.25">
      <c r="A375" s="5"/>
      <c r="B375" s="5"/>
      <c r="C375" s="7"/>
      <c r="D375" s="8"/>
      <c r="E375" s="5"/>
      <c r="F375" s="5"/>
    </row>
    <row r="376" spans="1:6" x14ac:dyDescent="0.25">
      <c r="A376" s="5"/>
      <c r="B376" s="5"/>
      <c r="C376" s="7"/>
      <c r="D376" s="8"/>
      <c r="E376" s="5"/>
      <c r="F376" s="5"/>
    </row>
    <row r="377" spans="1:6" x14ac:dyDescent="0.25">
      <c r="A377" s="5"/>
      <c r="B377" s="5"/>
      <c r="C377" s="7"/>
      <c r="D377" s="8"/>
      <c r="E377" s="5"/>
      <c r="F377" s="5"/>
    </row>
    <row r="378" spans="1:6" x14ac:dyDescent="0.25">
      <c r="A378" s="5"/>
      <c r="B378" s="5"/>
      <c r="C378" s="7"/>
      <c r="D378" s="8"/>
      <c r="E378" s="5"/>
      <c r="F378" s="5"/>
    </row>
    <row r="379" spans="1:6" x14ac:dyDescent="0.25">
      <c r="A379" s="5"/>
      <c r="B379" s="5"/>
      <c r="C379" s="7"/>
      <c r="D379" s="8"/>
      <c r="E379" s="5"/>
      <c r="F379" s="5"/>
    </row>
    <row r="380" spans="1:6" x14ac:dyDescent="0.25">
      <c r="A380" s="5"/>
      <c r="B380" s="5"/>
      <c r="C380" s="7"/>
      <c r="D380" s="8"/>
      <c r="E380" s="5"/>
      <c r="F380" s="5"/>
    </row>
    <row r="381" spans="1:6" x14ac:dyDescent="0.25">
      <c r="A381" s="5"/>
      <c r="B381" s="5"/>
      <c r="C381" s="7"/>
      <c r="D381" s="8"/>
      <c r="E381" s="5"/>
      <c r="F381" s="5"/>
    </row>
    <row r="382" spans="1:6" x14ac:dyDescent="0.25">
      <c r="A382" s="5"/>
      <c r="B382" s="5"/>
      <c r="C382" s="7"/>
      <c r="D382" s="8"/>
      <c r="E382" s="5"/>
      <c r="F382" s="5"/>
    </row>
    <row r="383" spans="1:6" x14ac:dyDescent="0.25">
      <c r="A383" s="5"/>
      <c r="B383" s="5"/>
      <c r="C383" s="7"/>
      <c r="D383" s="8"/>
      <c r="E383" s="5"/>
      <c r="F383" s="5"/>
    </row>
    <row r="384" spans="1:6" x14ac:dyDescent="0.25">
      <c r="A384" s="5"/>
      <c r="B384" s="5"/>
      <c r="C384" s="7"/>
      <c r="D384" s="8"/>
      <c r="E384" s="5"/>
      <c r="F384" s="5"/>
    </row>
    <row r="385" spans="1:6" x14ac:dyDescent="0.25">
      <c r="A385" s="5"/>
      <c r="B385" s="5"/>
      <c r="C385" s="7"/>
      <c r="D385" s="8"/>
      <c r="E385" s="5"/>
      <c r="F385" s="5"/>
    </row>
    <row r="386" spans="1:6" x14ac:dyDescent="0.25">
      <c r="A386" s="5"/>
      <c r="B386" s="5"/>
      <c r="C386" s="7"/>
      <c r="D386" s="8"/>
      <c r="E386" s="5"/>
      <c r="F386" s="5"/>
    </row>
    <row r="387" spans="1:6" x14ac:dyDescent="0.25">
      <c r="A387" s="5"/>
      <c r="B387" s="5"/>
      <c r="C387" s="7"/>
      <c r="D387" s="8"/>
      <c r="E387" s="5"/>
      <c r="F387" s="5"/>
    </row>
    <row r="388" spans="1:6" x14ac:dyDescent="0.25">
      <c r="A388" s="5"/>
      <c r="B388" s="5"/>
      <c r="C388" s="7"/>
      <c r="D388" s="8"/>
      <c r="E388" s="5"/>
      <c r="F388" s="5"/>
    </row>
    <row r="389" spans="1:6" x14ac:dyDescent="0.25">
      <c r="A389" s="5"/>
      <c r="B389" s="5"/>
      <c r="C389" s="7"/>
      <c r="D389" s="8"/>
      <c r="E389" s="5"/>
      <c r="F389" s="5"/>
    </row>
    <row r="390" spans="1:6" x14ac:dyDescent="0.25">
      <c r="A390" s="5"/>
      <c r="B390" s="5"/>
      <c r="C390" s="7"/>
      <c r="D390" s="8"/>
      <c r="E390" s="5"/>
      <c r="F390" s="5"/>
    </row>
    <row r="391" spans="1:6" x14ac:dyDescent="0.25">
      <c r="A391" s="5"/>
      <c r="B391" s="5"/>
      <c r="C391" s="7"/>
      <c r="D391" s="8"/>
      <c r="E391" s="5"/>
      <c r="F391" s="5"/>
    </row>
    <row r="392" spans="1:6" x14ac:dyDescent="0.25">
      <c r="A392" s="5"/>
      <c r="B392" s="5"/>
      <c r="C392" s="7"/>
      <c r="D392" s="8"/>
      <c r="E392" s="5"/>
      <c r="F392" s="5"/>
    </row>
    <row r="393" spans="1:6" x14ac:dyDescent="0.25">
      <c r="A393" s="5"/>
      <c r="B393" s="5"/>
      <c r="C393" s="7"/>
      <c r="D393" s="8"/>
      <c r="E393" s="5"/>
      <c r="F393" s="5"/>
    </row>
    <row r="394" spans="1:6" x14ac:dyDescent="0.25">
      <c r="A394" s="5"/>
      <c r="B394" s="5"/>
      <c r="C394" s="7"/>
      <c r="D394" s="8"/>
      <c r="E394" s="5"/>
      <c r="F394" s="5"/>
    </row>
    <row r="395" spans="1:6" x14ac:dyDescent="0.25">
      <c r="A395" s="5"/>
      <c r="B395" s="5"/>
      <c r="C395" s="7"/>
      <c r="D395" s="8"/>
      <c r="E395" s="5"/>
      <c r="F395" s="5"/>
    </row>
    <row r="396" spans="1:6" x14ac:dyDescent="0.25">
      <c r="A396" s="5"/>
      <c r="B396" s="5"/>
      <c r="C396" s="7"/>
      <c r="D396" s="8"/>
      <c r="E396" s="5"/>
      <c r="F396" s="5"/>
    </row>
    <row r="397" spans="1:6" x14ac:dyDescent="0.25">
      <c r="A397" s="5"/>
      <c r="B397" s="5"/>
      <c r="C397" s="7"/>
      <c r="D397" s="8"/>
      <c r="E397" s="5"/>
      <c r="F397" s="5"/>
    </row>
    <row r="398" spans="1:6" x14ac:dyDescent="0.25">
      <c r="A398" s="5"/>
      <c r="B398" s="5"/>
      <c r="C398" s="7"/>
      <c r="D398" s="8"/>
      <c r="E398" s="5"/>
      <c r="F398" s="5"/>
    </row>
    <row r="399" spans="1:6" x14ac:dyDescent="0.25">
      <c r="A399" s="5"/>
      <c r="B399" s="5"/>
      <c r="C399" s="7"/>
      <c r="D399" s="8"/>
      <c r="E399" s="5"/>
      <c r="F399" s="5"/>
    </row>
    <row r="400" spans="1:6" x14ac:dyDescent="0.25">
      <c r="A400" s="5"/>
      <c r="B400" s="5"/>
      <c r="C400" s="7"/>
      <c r="D400" s="8"/>
      <c r="E400" s="5"/>
      <c r="F400" s="5"/>
    </row>
    <row r="401" spans="1:6" x14ac:dyDescent="0.25">
      <c r="A401" s="5"/>
      <c r="B401" s="5"/>
      <c r="C401" s="7"/>
      <c r="D401" s="8"/>
      <c r="E401" s="5"/>
      <c r="F401" s="5"/>
    </row>
    <row r="402" spans="1:6" x14ac:dyDescent="0.25">
      <c r="A402" s="5"/>
      <c r="B402" s="5"/>
      <c r="C402" s="7"/>
      <c r="D402" s="8"/>
      <c r="E402" s="5"/>
      <c r="F402" s="5"/>
    </row>
    <row r="403" spans="1:6" x14ac:dyDescent="0.25">
      <c r="A403" s="5"/>
      <c r="B403" s="5"/>
      <c r="C403" s="7"/>
      <c r="D403" s="8"/>
      <c r="E403" s="5"/>
      <c r="F403" s="5"/>
    </row>
    <row r="404" spans="1:6" x14ac:dyDescent="0.25">
      <c r="A404" s="5"/>
      <c r="B404" s="5"/>
      <c r="C404" s="7"/>
      <c r="D404" s="8"/>
      <c r="E404" s="5"/>
      <c r="F404" s="5"/>
    </row>
    <row r="405" spans="1:6" x14ac:dyDescent="0.25">
      <c r="A405" s="5"/>
      <c r="B405" s="5"/>
      <c r="C405" s="7"/>
      <c r="D405" s="8"/>
      <c r="E405" s="5"/>
      <c r="F405" s="5"/>
    </row>
    <row r="406" spans="1:6" x14ac:dyDescent="0.25">
      <c r="A406" s="5"/>
      <c r="B406" s="5"/>
      <c r="C406" s="7"/>
      <c r="D406" s="8"/>
      <c r="E406" s="5"/>
      <c r="F406" s="5"/>
    </row>
    <row r="407" spans="1:6" x14ac:dyDescent="0.25">
      <c r="A407" s="5"/>
      <c r="B407" s="5"/>
      <c r="C407" s="7"/>
      <c r="D407" s="8"/>
      <c r="E407" s="5"/>
      <c r="F407" s="5"/>
    </row>
    <row r="408" spans="1:6" x14ac:dyDescent="0.25">
      <c r="A408" s="5"/>
      <c r="B408" s="5"/>
      <c r="C408" s="7"/>
      <c r="D408" s="8"/>
      <c r="E408" s="5"/>
      <c r="F408" s="5"/>
    </row>
    <row r="409" spans="1:6" x14ac:dyDescent="0.25">
      <c r="A409" s="5"/>
      <c r="B409" s="5"/>
      <c r="C409" s="7"/>
      <c r="D409" s="8"/>
      <c r="E409" s="5"/>
      <c r="F409" s="5"/>
    </row>
    <row r="410" spans="1:6" x14ac:dyDescent="0.25">
      <c r="A410" s="5"/>
      <c r="B410" s="5"/>
      <c r="C410" s="7"/>
      <c r="D410" s="8"/>
      <c r="E410" s="5"/>
      <c r="F410" s="5"/>
    </row>
    <row r="411" spans="1:6" x14ac:dyDescent="0.25">
      <c r="A411" s="5"/>
      <c r="B411" s="5"/>
      <c r="C411" s="7"/>
      <c r="D411" s="8"/>
      <c r="E411" s="5"/>
      <c r="F411" s="5"/>
    </row>
    <row r="412" spans="1:6" x14ac:dyDescent="0.25">
      <c r="A412" s="5"/>
      <c r="B412" s="5"/>
      <c r="C412" s="7"/>
      <c r="D412" s="8"/>
      <c r="E412" s="5"/>
      <c r="F412" s="5"/>
    </row>
    <row r="413" spans="1:6" x14ac:dyDescent="0.25">
      <c r="A413" s="5"/>
      <c r="B413" s="5"/>
      <c r="C413" s="7"/>
      <c r="D413" s="8"/>
      <c r="E413" s="5"/>
      <c r="F413" s="5"/>
    </row>
    <row r="414" spans="1:6" x14ac:dyDescent="0.25">
      <c r="A414" s="5"/>
      <c r="B414" s="5"/>
      <c r="C414" s="7"/>
      <c r="D414" s="8"/>
      <c r="E414" s="5"/>
      <c r="F414" s="5"/>
    </row>
    <row r="415" spans="1:6" x14ac:dyDescent="0.25">
      <c r="A415" s="5"/>
      <c r="B415" s="5"/>
      <c r="C415" s="7"/>
      <c r="D415" s="8"/>
      <c r="E415" s="5"/>
      <c r="F415" s="5"/>
    </row>
    <row r="416" spans="1:6" x14ac:dyDescent="0.25">
      <c r="A416" s="5"/>
      <c r="B416" s="5"/>
      <c r="C416" s="7"/>
      <c r="D416" s="8"/>
      <c r="E416" s="5"/>
      <c r="F416" s="5"/>
    </row>
    <row r="417" spans="1:6" x14ac:dyDescent="0.25">
      <c r="A417" s="5"/>
      <c r="B417" s="5"/>
      <c r="C417" s="7"/>
      <c r="D417" s="8"/>
      <c r="E417" s="5"/>
      <c r="F417" s="5"/>
    </row>
    <row r="418" spans="1:6" x14ac:dyDescent="0.25">
      <c r="A418" s="5"/>
      <c r="B418" s="5"/>
      <c r="C418" s="7"/>
      <c r="D418" s="8"/>
      <c r="E418" s="5"/>
      <c r="F418" s="5"/>
    </row>
    <row r="419" spans="1:6" x14ac:dyDescent="0.25">
      <c r="A419" s="5"/>
      <c r="B419" s="5"/>
      <c r="C419" s="7"/>
      <c r="D419" s="8"/>
      <c r="E419" s="5"/>
      <c r="F419" s="5"/>
    </row>
    <row r="420" spans="1:6" x14ac:dyDescent="0.25">
      <c r="A420" s="5"/>
      <c r="B420" s="5"/>
      <c r="C420" s="7"/>
      <c r="D420" s="8"/>
      <c r="E420" s="5"/>
      <c r="F420" s="5"/>
    </row>
    <row r="421" spans="1:6" x14ac:dyDescent="0.25">
      <c r="A421" s="5"/>
      <c r="B421" s="5"/>
      <c r="C421" s="7"/>
      <c r="D421" s="8"/>
      <c r="E421" s="5"/>
      <c r="F421" s="5"/>
    </row>
    <row r="422" spans="1:6" x14ac:dyDescent="0.25">
      <c r="A422" s="5"/>
      <c r="B422" s="5"/>
      <c r="C422" s="7"/>
      <c r="D422" s="8"/>
      <c r="E422" s="5"/>
      <c r="F422" s="5"/>
    </row>
    <row r="423" spans="1:6" x14ac:dyDescent="0.25">
      <c r="A423" s="5"/>
      <c r="B423" s="5"/>
      <c r="C423" s="7"/>
      <c r="D423" s="8"/>
      <c r="E423" s="5"/>
      <c r="F423" s="5"/>
    </row>
    <row r="424" spans="1:6" x14ac:dyDescent="0.25">
      <c r="A424" s="5"/>
      <c r="B424" s="5"/>
      <c r="C424" s="7"/>
      <c r="D424" s="8"/>
      <c r="E424" s="5"/>
      <c r="F424" s="5"/>
    </row>
    <row r="425" spans="1:6" x14ac:dyDescent="0.25">
      <c r="A425" s="5"/>
      <c r="B425" s="5"/>
      <c r="C425" s="7"/>
      <c r="D425" s="8"/>
      <c r="E425" s="5"/>
      <c r="F425" s="5"/>
    </row>
    <row r="426" spans="1:6" x14ac:dyDescent="0.25">
      <c r="A426" s="5"/>
      <c r="B426" s="5"/>
      <c r="C426" s="7"/>
      <c r="D426" s="8"/>
      <c r="E426" s="5"/>
      <c r="F426" s="5"/>
    </row>
    <row r="427" spans="1:6" x14ac:dyDescent="0.25">
      <c r="A427" s="5"/>
      <c r="B427" s="5"/>
      <c r="C427" s="7"/>
      <c r="D427" s="8"/>
      <c r="E427" s="5"/>
      <c r="F427" s="5"/>
    </row>
    <row r="428" spans="1:6" x14ac:dyDescent="0.25">
      <c r="A428" s="5"/>
      <c r="B428" s="5"/>
      <c r="C428" s="7"/>
      <c r="D428" s="8"/>
      <c r="E428" s="5"/>
      <c r="F428" s="5"/>
    </row>
    <row r="429" spans="1:6" x14ac:dyDescent="0.25">
      <c r="A429" s="5"/>
      <c r="B429" s="5"/>
      <c r="C429" s="7"/>
      <c r="D429" s="8"/>
      <c r="E429" s="5"/>
      <c r="F429" s="5"/>
    </row>
    <row r="430" spans="1:6" x14ac:dyDescent="0.25">
      <c r="A430" s="5"/>
      <c r="B430" s="5"/>
      <c r="C430" s="7"/>
      <c r="D430" s="8"/>
      <c r="E430" s="5"/>
      <c r="F430" s="5"/>
    </row>
    <row r="431" spans="1:6" x14ac:dyDescent="0.25">
      <c r="A431" s="5"/>
      <c r="B431" s="5"/>
      <c r="C431" s="7"/>
      <c r="D431" s="8"/>
      <c r="E431" s="5"/>
      <c r="F431" s="5"/>
    </row>
    <row r="432" spans="1:6" x14ac:dyDescent="0.25">
      <c r="A432" s="5"/>
      <c r="B432" s="5"/>
      <c r="C432" s="7"/>
      <c r="D432" s="8"/>
      <c r="E432" s="5"/>
      <c r="F432" s="5"/>
    </row>
    <row r="433" spans="1:6" x14ac:dyDescent="0.25">
      <c r="A433" s="5"/>
      <c r="B433" s="5"/>
      <c r="C433" s="7"/>
      <c r="D433" s="8"/>
      <c r="E433" s="5"/>
      <c r="F433" s="5"/>
    </row>
    <row r="434" spans="1:6" x14ac:dyDescent="0.25">
      <c r="A434" s="5"/>
      <c r="B434" s="5"/>
      <c r="C434" s="7"/>
      <c r="D434" s="8"/>
      <c r="E434" s="5"/>
      <c r="F434" s="5"/>
    </row>
    <row r="435" spans="1:6" x14ac:dyDescent="0.25">
      <c r="A435" s="5"/>
      <c r="B435" s="5"/>
      <c r="C435" s="7"/>
      <c r="D435" s="8"/>
      <c r="E435" s="5"/>
      <c r="F435" s="5"/>
    </row>
    <row r="436" spans="1:6" x14ac:dyDescent="0.25">
      <c r="A436" s="5"/>
      <c r="B436" s="5"/>
      <c r="C436" s="7"/>
      <c r="D436" s="8"/>
      <c r="E436" s="5"/>
      <c r="F436" s="5"/>
    </row>
    <row r="437" spans="1:6" x14ac:dyDescent="0.25">
      <c r="A437" s="5"/>
      <c r="B437" s="5"/>
      <c r="C437" s="7"/>
      <c r="D437" s="8"/>
      <c r="E437" s="5"/>
      <c r="F437" s="5"/>
    </row>
    <row r="438" spans="1:6" x14ac:dyDescent="0.25">
      <c r="A438" s="5"/>
      <c r="B438" s="5"/>
      <c r="C438" s="7"/>
      <c r="D438" s="8"/>
      <c r="E438" s="5"/>
      <c r="F438" s="5"/>
    </row>
    <row r="439" spans="1:6" x14ac:dyDescent="0.25">
      <c r="A439" s="5"/>
      <c r="B439" s="5"/>
      <c r="C439" s="7"/>
      <c r="D439" s="8"/>
      <c r="E439" s="5"/>
      <c r="F439" s="5"/>
    </row>
    <row r="440" spans="1:6" x14ac:dyDescent="0.25">
      <c r="A440" s="5"/>
      <c r="B440" s="5"/>
      <c r="C440" s="7"/>
      <c r="D440" s="8"/>
      <c r="E440" s="5"/>
      <c r="F440" s="5"/>
    </row>
    <row r="441" spans="1:6" x14ac:dyDescent="0.25">
      <c r="A441" s="5"/>
      <c r="B441" s="5"/>
      <c r="C441" s="7"/>
      <c r="D441" s="8"/>
      <c r="E441" s="5"/>
      <c r="F441" s="5"/>
    </row>
    <row r="442" spans="1:6" x14ac:dyDescent="0.25">
      <c r="A442" s="5"/>
      <c r="B442" s="5"/>
      <c r="C442" s="7"/>
      <c r="D442" s="8"/>
      <c r="E442" s="5"/>
      <c r="F442" s="5"/>
    </row>
    <row r="443" spans="1:6" x14ac:dyDescent="0.25">
      <c r="A443" s="5"/>
      <c r="B443" s="5"/>
      <c r="C443" s="7"/>
      <c r="D443" s="8"/>
      <c r="E443" s="5"/>
      <c r="F443" s="5"/>
    </row>
    <row r="444" spans="1:6" x14ac:dyDescent="0.25">
      <c r="A444" s="5"/>
      <c r="B444" s="5"/>
      <c r="C444" s="7"/>
      <c r="D444" s="8"/>
      <c r="E444" s="5"/>
      <c r="F444" s="5"/>
    </row>
    <row r="445" spans="1:6" x14ac:dyDescent="0.25">
      <c r="A445" s="5"/>
      <c r="B445" s="5"/>
      <c r="C445" s="7"/>
      <c r="D445" s="8"/>
      <c r="E445" s="5"/>
      <c r="F445" s="5"/>
    </row>
    <row r="446" spans="1:6" x14ac:dyDescent="0.25">
      <c r="A446" s="5"/>
      <c r="B446" s="5"/>
      <c r="C446" s="7"/>
      <c r="D446" s="8"/>
      <c r="E446" s="5"/>
      <c r="F446" s="5"/>
    </row>
    <row r="447" spans="1:6" x14ac:dyDescent="0.25">
      <c r="A447" s="5"/>
      <c r="B447" s="5"/>
      <c r="C447" s="7"/>
      <c r="D447" s="8"/>
      <c r="E447" s="5"/>
      <c r="F447" s="5"/>
    </row>
    <row r="448" spans="1:6" x14ac:dyDescent="0.25">
      <c r="A448" s="5"/>
      <c r="B448" s="5"/>
      <c r="C448" s="7"/>
      <c r="D448" s="8"/>
      <c r="E448" s="5"/>
      <c r="F448" s="5"/>
    </row>
    <row r="449" spans="1:6" x14ac:dyDescent="0.25">
      <c r="A449" s="5"/>
      <c r="B449" s="5"/>
      <c r="C449" s="7"/>
      <c r="D449" s="8"/>
      <c r="E449" s="5"/>
      <c r="F449" s="5"/>
    </row>
    <row r="450" spans="1:6" x14ac:dyDescent="0.25">
      <c r="A450" s="5"/>
      <c r="B450" s="5"/>
      <c r="C450" s="7"/>
      <c r="D450" s="8"/>
      <c r="E450" s="5"/>
      <c r="F450" s="5"/>
    </row>
    <row r="451" spans="1:6" x14ac:dyDescent="0.25">
      <c r="A451" s="5"/>
      <c r="B451" s="5"/>
      <c r="C451" s="7"/>
      <c r="D451" s="8"/>
      <c r="E451" s="5"/>
      <c r="F451" s="5"/>
    </row>
    <row r="452" spans="1:6" x14ac:dyDescent="0.25">
      <c r="A452" s="5"/>
      <c r="B452" s="5"/>
      <c r="C452" s="7"/>
      <c r="D452" s="8"/>
      <c r="E452" s="5"/>
      <c r="F452" s="5"/>
    </row>
    <row r="453" spans="1:6" x14ac:dyDescent="0.25">
      <c r="A453" s="5"/>
      <c r="B453" s="5"/>
      <c r="C453" s="7"/>
      <c r="D453" s="8"/>
      <c r="E453" s="5"/>
      <c r="F453" s="5"/>
    </row>
    <row r="454" spans="1:6" x14ac:dyDescent="0.25">
      <c r="A454" s="5"/>
      <c r="B454" s="5"/>
      <c r="C454" s="7"/>
      <c r="D454" s="8"/>
      <c r="E454" s="5"/>
      <c r="F454" s="5"/>
    </row>
    <row r="455" spans="1:6" x14ac:dyDescent="0.25">
      <c r="A455" s="5"/>
      <c r="B455" s="5"/>
      <c r="C455" s="7"/>
      <c r="D455" s="8"/>
      <c r="E455" s="5"/>
      <c r="F455" s="5"/>
    </row>
    <row r="456" spans="1:6" x14ac:dyDescent="0.25">
      <c r="A456" s="5"/>
      <c r="B456" s="5"/>
      <c r="C456" s="7"/>
      <c r="D456" s="8"/>
      <c r="E456" s="5"/>
      <c r="F456" s="5"/>
    </row>
    <row r="457" spans="1:6" x14ac:dyDescent="0.25">
      <c r="A457" s="5"/>
      <c r="B457" s="5"/>
      <c r="C457" s="7"/>
      <c r="D457" s="8"/>
      <c r="E457" s="5"/>
      <c r="F457" s="5"/>
    </row>
    <row r="458" spans="1:6" x14ac:dyDescent="0.25">
      <c r="A458" s="5"/>
      <c r="B458" s="5"/>
      <c r="C458" s="7"/>
      <c r="D458" s="8"/>
      <c r="E458" s="5"/>
      <c r="F458" s="5"/>
    </row>
    <row r="459" spans="1:6" x14ac:dyDescent="0.25">
      <c r="A459" s="5"/>
      <c r="B459" s="5"/>
      <c r="C459" s="7"/>
      <c r="D459" s="8"/>
      <c r="E459" s="5"/>
      <c r="F459" s="5"/>
    </row>
    <row r="460" spans="1:6" x14ac:dyDescent="0.25">
      <c r="A460" s="5"/>
      <c r="B460" s="5"/>
      <c r="C460" s="7"/>
      <c r="D460" s="8"/>
      <c r="E460" s="5"/>
      <c r="F460" s="5"/>
    </row>
    <row r="461" spans="1:6" x14ac:dyDescent="0.25">
      <c r="A461" s="5"/>
      <c r="B461" s="5"/>
      <c r="C461" s="7"/>
      <c r="D461" s="8"/>
      <c r="E461" s="5"/>
      <c r="F461" s="5"/>
    </row>
    <row r="462" spans="1:6" x14ac:dyDescent="0.25">
      <c r="A462" s="5"/>
      <c r="B462" s="5"/>
      <c r="C462" s="7"/>
      <c r="D462" s="8"/>
      <c r="E462" s="5"/>
      <c r="F462" s="5"/>
    </row>
    <row r="463" spans="1:6" x14ac:dyDescent="0.25">
      <c r="A463" s="5"/>
      <c r="B463" s="5"/>
      <c r="C463" s="7"/>
      <c r="D463" s="8"/>
      <c r="E463" s="5"/>
      <c r="F463" s="5"/>
    </row>
    <row r="464" spans="1:6" x14ac:dyDescent="0.25">
      <c r="A464" s="5"/>
      <c r="B464" s="5"/>
      <c r="C464" s="7"/>
      <c r="D464" s="8"/>
      <c r="E464" s="5"/>
      <c r="F464" s="5"/>
    </row>
    <row r="465" spans="1:6" x14ac:dyDescent="0.25">
      <c r="A465" s="5"/>
      <c r="B465" s="5"/>
      <c r="C465" s="7"/>
      <c r="D465" s="8"/>
      <c r="E465" s="5"/>
      <c r="F465" s="5"/>
    </row>
    <row r="466" spans="1:6" x14ac:dyDescent="0.25">
      <c r="A466" s="5"/>
      <c r="B466" s="5"/>
      <c r="C466" s="7"/>
      <c r="D466" s="8"/>
      <c r="E466" s="5"/>
      <c r="F466" s="5"/>
    </row>
    <row r="467" spans="1:6" x14ac:dyDescent="0.25">
      <c r="A467" s="5"/>
      <c r="B467" s="5"/>
      <c r="C467" s="7"/>
      <c r="D467" s="8"/>
      <c r="E467" s="5"/>
      <c r="F467" s="5"/>
    </row>
    <row r="468" spans="1:6" x14ac:dyDescent="0.25">
      <c r="A468" s="5"/>
      <c r="B468" s="5"/>
      <c r="C468" s="7"/>
      <c r="D468" s="8"/>
      <c r="E468" s="5"/>
      <c r="F468" s="5"/>
    </row>
    <row r="469" spans="1:6" x14ac:dyDescent="0.25">
      <c r="A469" s="5"/>
      <c r="B469" s="5"/>
      <c r="C469" s="7"/>
      <c r="D469" s="8"/>
      <c r="E469" s="5"/>
      <c r="F469" s="5"/>
    </row>
    <row r="470" spans="1:6" x14ac:dyDescent="0.25">
      <c r="A470" s="5"/>
      <c r="B470" s="5"/>
      <c r="C470" s="7"/>
      <c r="D470" s="8"/>
      <c r="E470" s="5"/>
      <c r="F470" s="5"/>
    </row>
    <row r="471" spans="1:6" x14ac:dyDescent="0.25">
      <c r="A471" s="5"/>
      <c r="B471" s="5"/>
      <c r="C471" s="7"/>
      <c r="D471" s="8"/>
      <c r="E471" s="5"/>
      <c r="F471" s="5"/>
    </row>
    <row r="472" spans="1:6" x14ac:dyDescent="0.25">
      <c r="A472" s="5"/>
      <c r="B472" s="5"/>
      <c r="C472" s="7"/>
      <c r="D472" s="8"/>
      <c r="E472" s="5"/>
      <c r="F472" s="5"/>
    </row>
    <row r="473" spans="1:6" x14ac:dyDescent="0.25">
      <c r="A473" s="5"/>
      <c r="B473" s="5"/>
      <c r="C473" s="7"/>
      <c r="D473" s="8"/>
      <c r="E473" s="5"/>
      <c r="F473" s="5"/>
    </row>
    <row r="474" spans="1:6" x14ac:dyDescent="0.25">
      <c r="A474" s="5"/>
      <c r="B474" s="5"/>
      <c r="C474" s="7"/>
      <c r="D474" s="8"/>
      <c r="E474" s="5"/>
      <c r="F474" s="5"/>
    </row>
    <row r="475" spans="1:6" x14ac:dyDescent="0.25">
      <c r="A475" s="5"/>
      <c r="B475" s="5"/>
      <c r="C475" s="7"/>
      <c r="D475" s="8"/>
      <c r="E475" s="5"/>
      <c r="F475" s="5"/>
    </row>
    <row r="476" spans="1:6" x14ac:dyDescent="0.25">
      <c r="A476" s="5"/>
      <c r="B476" s="5"/>
      <c r="C476" s="7"/>
      <c r="D476" s="8"/>
      <c r="E476" s="5"/>
      <c r="F476" s="5"/>
    </row>
    <row r="477" spans="1:6" x14ac:dyDescent="0.25">
      <c r="A477" s="5"/>
      <c r="B477" s="5"/>
      <c r="C477" s="7"/>
      <c r="D477" s="8"/>
      <c r="E477" s="5"/>
      <c r="F477" s="5"/>
    </row>
    <row r="478" spans="1:6" x14ac:dyDescent="0.25">
      <c r="A478" s="5"/>
      <c r="B478" s="5"/>
      <c r="C478" s="7"/>
      <c r="D478" s="8"/>
      <c r="E478" s="5"/>
      <c r="F478" s="5"/>
    </row>
    <row r="479" spans="1:6" x14ac:dyDescent="0.25">
      <c r="A479" s="5"/>
      <c r="B479" s="5"/>
      <c r="C479" s="7"/>
      <c r="D479" s="8"/>
      <c r="E479" s="5"/>
      <c r="F479" s="5"/>
    </row>
    <row r="480" spans="1:6" x14ac:dyDescent="0.25">
      <c r="A480" s="5"/>
      <c r="B480" s="5"/>
      <c r="C480" s="7"/>
      <c r="D480" s="8"/>
      <c r="E480" s="5"/>
      <c r="F480" s="5"/>
    </row>
    <row r="481" spans="1:6" x14ac:dyDescent="0.25">
      <c r="A481" s="5"/>
      <c r="B481" s="5"/>
      <c r="C481" s="7"/>
      <c r="D481" s="8"/>
      <c r="E481" s="5"/>
      <c r="F481" s="5"/>
    </row>
    <row r="482" spans="1:6" x14ac:dyDescent="0.25">
      <c r="A482" s="5"/>
      <c r="B482" s="5"/>
      <c r="C482" s="7"/>
      <c r="D482" s="8"/>
      <c r="E482" s="5"/>
      <c r="F482" s="5"/>
    </row>
    <row r="483" spans="1:6" x14ac:dyDescent="0.25">
      <c r="A483" s="5"/>
      <c r="B483" s="5"/>
      <c r="C483" s="7"/>
      <c r="D483" s="8"/>
      <c r="E483" s="5"/>
      <c r="F483" s="5"/>
    </row>
    <row r="484" spans="1:6" x14ac:dyDescent="0.25">
      <c r="A484" s="5"/>
      <c r="B484" s="5"/>
      <c r="C484" s="7"/>
      <c r="D484" s="8"/>
      <c r="E484" s="5"/>
      <c r="F484" s="5"/>
    </row>
    <row r="485" spans="1:6" x14ac:dyDescent="0.25">
      <c r="A485" s="5"/>
      <c r="B485" s="5"/>
      <c r="C485" s="7"/>
      <c r="D485" s="8"/>
      <c r="E485" s="5"/>
      <c r="F485" s="5"/>
    </row>
    <row r="486" spans="1:6" x14ac:dyDescent="0.25">
      <c r="A486" s="5"/>
      <c r="B486" s="5"/>
      <c r="C486" s="7"/>
      <c r="D486" s="8"/>
      <c r="E486" s="5"/>
      <c r="F486" s="5"/>
    </row>
    <row r="487" spans="1:6" x14ac:dyDescent="0.25">
      <c r="A487" s="5"/>
      <c r="B487" s="5"/>
      <c r="C487" s="7"/>
      <c r="D487" s="8"/>
      <c r="E487" s="5"/>
      <c r="F487" s="5"/>
    </row>
    <row r="488" spans="1:6" x14ac:dyDescent="0.25">
      <c r="A488" s="5"/>
      <c r="B488" s="5"/>
      <c r="C488" s="7"/>
      <c r="D488" s="8"/>
      <c r="E488" s="5"/>
      <c r="F488" s="5"/>
    </row>
    <row r="489" spans="1:6" x14ac:dyDescent="0.25">
      <c r="A489" s="5"/>
      <c r="B489" s="5"/>
      <c r="C489" s="7"/>
      <c r="D489" s="8"/>
      <c r="E489" s="5"/>
      <c r="F489" s="5"/>
    </row>
    <row r="490" spans="1:6" x14ac:dyDescent="0.25">
      <c r="A490" s="5"/>
      <c r="B490" s="5"/>
      <c r="C490" s="7"/>
      <c r="D490" s="8"/>
      <c r="E490" s="5"/>
      <c r="F490" s="5"/>
    </row>
    <row r="491" spans="1:6" x14ac:dyDescent="0.25">
      <c r="A491" s="5"/>
      <c r="B491" s="5"/>
      <c r="C491" s="7"/>
      <c r="D491" s="8"/>
      <c r="E491" s="5"/>
      <c r="F491" s="5"/>
    </row>
    <row r="492" spans="1:6" x14ac:dyDescent="0.25">
      <c r="A492" s="5"/>
      <c r="B492" s="5"/>
      <c r="C492" s="7"/>
      <c r="D492" s="8"/>
      <c r="E492" s="5"/>
      <c r="F492" s="5"/>
    </row>
    <row r="493" spans="1:6" x14ac:dyDescent="0.25">
      <c r="A493" s="5"/>
      <c r="B493" s="5"/>
      <c r="C493" s="7"/>
      <c r="D493" s="8"/>
      <c r="E493" s="5"/>
      <c r="F493" s="5"/>
    </row>
    <row r="494" spans="1:6" x14ac:dyDescent="0.25">
      <c r="A494" s="5"/>
      <c r="B494" s="5"/>
      <c r="C494" s="7"/>
      <c r="D494" s="8"/>
      <c r="E494" s="5"/>
      <c r="F494" s="5"/>
    </row>
    <row r="495" spans="1:6" x14ac:dyDescent="0.25">
      <c r="A495" s="5"/>
      <c r="B495" s="5"/>
      <c r="C495" s="7"/>
      <c r="D495" s="8"/>
      <c r="E495" s="5"/>
      <c r="F495" s="5"/>
    </row>
    <row r="496" spans="1:6" x14ac:dyDescent="0.25">
      <c r="A496" s="5"/>
      <c r="B496" s="5"/>
      <c r="C496" s="7"/>
      <c r="D496" s="8"/>
      <c r="E496" s="5"/>
      <c r="F496" s="5"/>
    </row>
    <row r="497" spans="1:6" x14ac:dyDescent="0.25">
      <c r="A497" s="5"/>
      <c r="B497" s="5"/>
      <c r="C497" s="7"/>
      <c r="D497" s="8"/>
      <c r="E497" s="5"/>
      <c r="F497" s="5"/>
    </row>
    <row r="498" spans="1:6" x14ac:dyDescent="0.25">
      <c r="A498" s="5"/>
      <c r="B498" s="5"/>
      <c r="C498" s="7"/>
      <c r="D498" s="8"/>
      <c r="E498" s="5"/>
      <c r="F498" s="5"/>
    </row>
    <row r="499" spans="1:6" x14ac:dyDescent="0.25">
      <c r="A499" s="5"/>
      <c r="B499" s="5"/>
      <c r="C499" s="7"/>
      <c r="D499" s="8"/>
      <c r="E499" s="5"/>
      <c r="F499" s="5"/>
    </row>
    <row r="500" spans="1:6" x14ac:dyDescent="0.25">
      <c r="A500" s="5"/>
      <c r="B500" s="5"/>
      <c r="C500" s="7"/>
      <c r="D500" s="8"/>
      <c r="E500" s="5"/>
      <c r="F500" s="5"/>
    </row>
    <row r="501" spans="1:6" x14ac:dyDescent="0.25">
      <c r="A501" s="5"/>
      <c r="B501" s="5"/>
      <c r="C501" s="7"/>
      <c r="D501" s="8"/>
      <c r="E501" s="5"/>
      <c r="F501" s="5"/>
    </row>
    <row r="502" spans="1:6" x14ac:dyDescent="0.25">
      <c r="A502" s="5"/>
      <c r="B502" s="5"/>
      <c r="C502" s="7"/>
      <c r="D502" s="8"/>
      <c r="E502" s="5"/>
      <c r="F502" s="5"/>
    </row>
    <row r="503" spans="1:6" x14ac:dyDescent="0.25">
      <c r="A503" s="5"/>
      <c r="B503" s="5"/>
      <c r="C503" s="7"/>
      <c r="D503" s="8"/>
      <c r="E503" s="5"/>
      <c r="F503" s="5"/>
    </row>
    <row r="504" spans="1:6" x14ac:dyDescent="0.25">
      <c r="A504" s="5"/>
      <c r="B504" s="5"/>
      <c r="C504" s="7"/>
      <c r="D504" s="8"/>
      <c r="E504" s="5"/>
      <c r="F504" s="5"/>
    </row>
    <row r="505" spans="1:6" x14ac:dyDescent="0.25">
      <c r="A505" s="5"/>
      <c r="B505" s="5"/>
      <c r="C505" s="7"/>
      <c r="D505" s="8"/>
      <c r="E505" s="5"/>
      <c r="F505" s="5"/>
    </row>
    <row r="506" spans="1:6" x14ac:dyDescent="0.25">
      <c r="A506" s="5"/>
      <c r="B506" s="5"/>
      <c r="C506" s="7"/>
      <c r="D506" s="8"/>
      <c r="E506" s="5"/>
      <c r="F506" s="5"/>
    </row>
    <row r="507" spans="1:6" x14ac:dyDescent="0.25">
      <c r="A507" s="5"/>
      <c r="B507" s="5"/>
      <c r="C507" s="7"/>
      <c r="D507" s="8"/>
      <c r="E507" s="5"/>
      <c r="F507" s="5"/>
    </row>
    <row r="508" spans="1:6" x14ac:dyDescent="0.25">
      <c r="A508" s="5"/>
      <c r="B508" s="5"/>
      <c r="C508" s="7"/>
      <c r="D508" s="8"/>
      <c r="E508" s="5"/>
      <c r="F508" s="5"/>
    </row>
    <row r="509" spans="1:6" x14ac:dyDescent="0.25">
      <c r="A509" s="5"/>
      <c r="B509" s="5"/>
      <c r="C509" s="7"/>
      <c r="D509" s="8"/>
      <c r="E509" s="5"/>
      <c r="F509" s="5"/>
    </row>
    <row r="510" spans="1:6" x14ac:dyDescent="0.25">
      <c r="A510" s="5"/>
      <c r="B510" s="5"/>
      <c r="C510" s="7"/>
      <c r="D510" s="8"/>
      <c r="E510" s="5"/>
      <c r="F510" s="5"/>
    </row>
  </sheetData>
  <autoFilter ref="A4:F510" xr:uid="{00000000-0009-0000-0000-000002000000}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C78"/>
    <pageSetUpPr fitToPage="1"/>
  </sheetPr>
  <dimension ref="A1:H104"/>
  <sheetViews>
    <sheetView showGridLines="0" zoomScale="90" workbookViewId="0">
      <pane ySplit="4" topLeftCell="A5" activePane="bottomLeft" state="frozen"/>
      <selection pane="bottomLeft" activeCell="D30" sqref="D30"/>
    </sheetView>
  </sheetViews>
  <sheetFormatPr defaultRowHeight="15" x14ac:dyDescent="0.25"/>
  <cols>
    <col min="1" max="1" width="16" customWidth="1"/>
    <col min="2" max="2" width="28" customWidth="1"/>
    <col min="3" max="4" width="20" customWidth="1"/>
    <col min="5" max="5" width="30" customWidth="1"/>
    <col min="6" max="6" width="22" customWidth="1"/>
    <col min="7" max="7" width="27.28515625" customWidth="1"/>
    <col min="8" max="8" width="23.5703125" customWidth="1"/>
  </cols>
  <sheetData>
    <row r="1" spans="1:8" ht="33.950000000000003" customHeight="1" x14ac:dyDescent="0.25">
      <c r="A1" s="16" t="s">
        <v>88</v>
      </c>
      <c r="B1" s="17"/>
      <c r="C1" s="17"/>
      <c r="D1" s="17"/>
      <c r="E1" s="17"/>
      <c r="F1" s="17"/>
      <c r="G1" s="17"/>
      <c r="H1" s="17"/>
    </row>
    <row r="2" spans="1:8" ht="26.1" customHeight="1" x14ac:dyDescent="0.25">
      <c r="A2" s="22" t="s">
        <v>89</v>
      </c>
      <c r="B2" s="17"/>
      <c r="C2" s="17"/>
      <c r="D2" s="17"/>
      <c r="E2" s="17"/>
      <c r="F2" s="17"/>
      <c r="G2" s="17"/>
      <c r="H2" s="17"/>
    </row>
    <row r="4" spans="1:8" x14ac:dyDescent="0.25">
      <c r="A4" s="1" t="s">
        <v>26</v>
      </c>
      <c r="B4" s="1" t="s">
        <v>27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94</v>
      </c>
      <c r="H4" s="1" t="s">
        <v>95</v>
      </c>
    </row>
    <row r="5" spans="1:8" x14ac:dyDescent="0.25">
      <c r="A5" s="5" t="s">
        <v>41</v>
      </c>
      <c r="B5" s="5" t="s">
        <v>96</v>
      </c>
      <c r="C5" s="5" t="s">
        <v>97</v>
      </c>
      <c r="D5" s="5" t="s">
        <v>98</v>
      </c>
      <c r="E5" s="5" t="s">
        <v>99</v>
      </c>
      <c r="F5" s="5" t="s">
        <v>43</v>
      </c>
      <c r="G5" s="5">
        <v>7</v>
      </c>
      <c r="H5" s="5">
        <v>4</v>
      </c>
    </row>
    <row r="6" spans="1:8" x14ac:dyDescent="0.25">
      <c r="A6" s="5" t="s">
        <v>51</v>
      </c>
      <c r="B6" s="5" t="s">
        <v>100</v>
      </c>
      <c r="C6" s="5" t="s">
        <v>101</v>
      </c>
      <c r="D6" s="5" t="s">
        <v>98</v>
      </c>
      <c r="E6" s="5" t="s">
        <v>102</v>
      </c>
      <c r="F6" s="5" t="s">
        <v>53</v>
      </c>
      <c r="G6" s="5">
        <v>4</v>
      </c>
      <c r="H6" s="5">
        <v>5</v>
      </c>
    </row>
    <row r="7" spans="1:8" x14ac:dyDescent="0.25">
      <c r="A7" s="5" t="s">
        <v>46</v>
      </c>
      <c r="B7" s="5" t="s">
        <v>103</v>
      </c>
      <c r="C7" s="5" t="s">
        <v>104</v>
      </c>
      <c r="D7" s="5" t="s">
        <v>98</v>
      </c>
      <c r="E7" s="5" t="s">
        <v>105</v>
      </c>
      <c r="F7" s="5" t="s">
        <v>48</v>
      </c>
      <c r="G7" s="5">
        <v>10</v>
      </c>
      <c r="H7" s="5">
        <v>3</v>
      </c>
    </row>
    <row r="8" spans="1:8" x14ac:dyDescent="0.25">
      <c r="A8" s="5" t="s">
        <v>56</v>
      </c>
      <c r="B8" s="5" t="s">
        <v>106</v>
      </c>
      <c r="C8" s="5" t="s">
        <v>107</v>
      </c>
      <c r="D8" s="5" t="s">
        <v>98</v>
      </c>
      <c r="E8" s="5" t="s">
        <v>108</v>
      </c>
      <c r="F8" s="5" t="s">
        <v>58</v>
      </c>
      <c r="G8" s="5">
        <v>5</v>
      </c>
      <c r="H8" s="5">
        <v>4</v>
      </c>
    </row>
    <row r="9" spans="1:8" x14ac:dyDescent="0.25">
      <c r="A9" s="5" t="s">
        <v>60</v>
      </c>
      <c r="B9" s="5" t="s">
        <v>109</v>
      </c>
      <c r="C9" s="5" t="s">
        <v>110</v>
      </c>
      <c r="D9" s="5" t="s">
        <v>98</v>
      </c>
      <c r="E9" s="5" t="s">
        <v>111</v>
      </c>
      <c r="F9" s="5" t="s">
        <v>62</v>
      </c>
      <c r="G9" s="5">
        <v>14</v>
      </c>
      <c r="H9" s="5">
        <v>3</v>
      </c>
    </row>
    <row r="10" spans="1:8" x14ac:dyDescent="0.25">
      <c r="A10" s="5"/>
      <c r="B10" s="5"/>
      <c r="C10" s="5"/>
      <c r="D10" s="5"/>
      <c r="E10" s="5"/>
      <c r="F10" s="5"/>
      <c r="G10" s="5"/>
      <c r="H10" s="5"/>
    </row>
    <row r="11" spans="1:8" x14ac:dyDescent="0.25">
      <c r="A11" s="5"/>
      <c r="B11" s="5"/>
      <c r="C11" s="5"/>
      <c r="D11" s="5"/>
      <c r="E11" s="5"/>
      <c r="F11" s="5"/>
      <c r="G11" s="5"/>
      <c r="H11" s="5"/>
    </row>
    <row r="12" spans="1:8" x14ac:dyDescent="0.25">
      <c r="A12" s="5"/>
      <c r="B12" s="5"/>
      <c r="C12" s="5"/>
      <c r="D12" s="5"/>
      <c r="E12" s="5"/>
      <c r="F12" s="5"/>
      <c r="G12" s="5"/>
      <c r="H12" s="5"/>
    </row>
    <row r="13" spans="1:8" x14ac:dyDescent="0.25">
      <c r="A13" s="5"/>
      <c r="B13" s="5"/>
      <c r="C13" s="5"/>
      <c r="D13" s="5"/>
      <c r="E13" s="5"/>
      <c r="F13" s="5"/>
      <c r="G13" s="5"/>
      <c r="H13" s="5"/>
    </row>
    <row r="14" spans="1:8" x14ac:dyDescent="0.25">
      <c r="A14" s="5"/>
      <c r="B14" s="5"/>
      <c r="C14" s="5"/>
      <c r="D14" s="5"/>
      <c r="E14" s="5"/>
      <c r="F14" s="5"/>
      <c r="G14" s="5"/>
      <c r="H14" s="5"/>
    </row>
    <row r="15" spans="1:8" x14ac:dyDescent="0.25">
      <c r="A15" s="5"/>
      <c r="B15" s="5"/>
      <c r="C15" s="5"/>
      <c r="D15" s="5"/>
      <c r="E15" s="5"/>
      <c r="F15" s="5"/>
      <c r="G15" s="5"/>
      <c r="H15" s="5"/>
    </row>
    <row r="16" spans="1:8" x14ac:dyDescent="0.25">
      <c r="A16" s="5"/>
      <c r="B16" s="5"/>
      <c r="C16" s="5"/>
      <c r="D16" s="5"/>
      <c r="E16" s="5"/>
      <c r="F16" s="5"/>
      <c r="G16" s="5"/>
      <c r="H16" s="5"/>
    </row>
    <row r="17" spans="1:8" x14ac:dyDescent="0.25">
      <c r="A17" s="5"/>
      <c r="B17" s="5"/>
      <c r="C17" s="5"/>
      <c r="D17" s="5"/>
      <c r="E17" s="5"/>
      <c r="F17" s="5"/>
      <c r="G17" s="5"/>
      <c r="H17" s="5"/>
    </row>
    <row r="18" spans="1:8" x14ac:dyDescent="0.25">
      <c r="A18" s="5"/>
      <c r="B18" s="5"/>
      <c r="C18" s="5"/>
      <c r="D18" s="5"/>
      <c r="E18" s="5"/>
      <c r="F18" s="5"/>
      <c r="G18" s="5"/>
      <c r="H18" s="5"/>
    </row>
    <row r="19" spans="1:8" x14ac:dyDescent="0.25">
      <c r="A19" s="5"/>
      <c r="B19" s="5"/>
      <c r="C19" s="5"/>
      <c r="D19" s="5"/>
      <c r="E19" s="5"/>
      <c r="F19" s="5"/>
      <c r="G19" s="5"/>
      <c r="H19" s="5"/>
    </row>
    <row r="20" spans="1:8" x14ac:dyDescent="0.25">
      <c r="A20" s="5"/>
      <c r="B20" s="5"/>
      <c r="C20" s="5"/>
      <c r="D20" s="5"/>
      <c r="E20" s="5"/>
      <c r="F20" s="5"/>
      <c r="G20" s="5"/>
      <c r="H20" s="5"/>
    </row>
    <row r="21" spans="1:8" x14ac:dyDescent="0.25">
      <c r="A21" s="5"/>
      <c r="B21" s="5"/>
      <c r="C21" s="5"/>
      <c r="D21" s="5"/>
      <c r="E21" s="5"/>
      <c r="F21" s="5"/>
      <c r="G21" s="5"/>
      <c r="H21" s="5"/>
    </row>
    <row r="22" spans="1:8" x14ac:dyDescent="0.25">
      <c r="A22" s="5"/>
      <c r="B22" s="5"/>
      <c r="C22" s="5"/>
      <c r="D22" s="5"/>
      <c r="E22" s="5"/>
      <c r="F22" s="5"/>
      <c r="G22" s="5"/>
      <c r="H22" s="5"/>
    </row>
    <row r="23" spans="1:8" x14ac:dyDescent="0.25">
      <c r="A23" s="5"/>
      <c r="B23" s="5"/>
      <c r="C23" s="5"/>
      <c r="D23" s="5"/>
      <c r="E23" s="5"/>
      <c r="F23" s="5"/>
      <c r="G23" s="5"/>
      <c r="H23" s="5"/>
    </row>
    <row r="24" spans="1:8" x14ac:dyDescent="0.25">
      <c r="A24" s="5"/>
      <c r="B24" s="5"/>
      <c r="C24" s="5"/>
      <c r="D24" s="5"/>
      <c r="E24" s="5"/>
      <c r="F24" s="5"/>
      <c r="G24" s="5"/>
      <c r="H24" s="5"/>
    </row>
    <row r="25" spans="1:8" x14ac:dyDescent="0.25">
      <c r="A25" s="5"/>
      <c r="B25" s="5"/>
      <c r="C25" s="5"/>
      <c r="D25" s="5"/>
      <c r="E25" s="5"/>
      <c r="F25" s="5"/>
      <c r="G25" s="5"/>
      <c r="H25" s="5"/>
    </row>
    <row r="26" spans="1:8" x14ac:dyDescent="0.25">
      <c r="A26" s="5"/>
      <c r="B26" s="5"/>
      <c r="C26" s="5"/>
      <c r="D26" s="5"/>
      <c r="E26" s="5"/>
      <c r="F26" s="5"/>
      <c r="G26" s="5"/>
      <c r="H26" s="5"/>
    </row>
    <row r="27" spans="1:8" x14ac:dyDescent="0.25">
      <c r="A27" s="5"/>
      <c r="B27" s="5"/>
      <c r="C27" s="5"/>
      <c r="D27" s="5"/>
      <c r="E27" s="5"/>
      <c r="F27" s="5"/>
      <c r="G27" s="5"/>
      <c r="H27" s="5"/>
    </row>
    <row r="28" spans="1:8" x14ac:dyDescent="0.25">
      <c r="A28" s="5"/>
      <c r="B28" s="5"/>
      <c r="C28" s="5"/>
      <c r="D28" s="5"/>
      <c r="E28" s="5"/>
      <c r="F28" s="5"/>
      <c r="G28" s="5"/>
      <c r="H28" s="5"/>
    </row>
    <row r="29" spans="1:8" x14ac:dyDescent="0.25">
      <c r="A29" s="5"/>
      <c r="B29" s="5"/>
      <c r="C29" s="5"/>
      <c r="D29" s="5"/>
      <c r="E29" s="5"/>
      <c r="F29" s="5"/>
      <c r="G29" s="5"/>
      <c r="H29" s="5"/>
    </row>
    <row r="30" spans="1:8" x14ac:dyDescent="0.25">
      <c r="A30" s="5"/>
      <c r="B30" s="5"/>
      <c r="C30" s="5"/>
      <c r="D30" s="5"/>
      <c r="E30" s="5"/>
      <c r="F30" s="5"/>
      <c r="G30" s="5"/>
      <c r="H30" s="5"/>
    </row>
    <row r="31" spans="1:8" x14ac:dyDescent="0.25">
      <c r="A31" s="5"/>
      <c r="B31" s="5"/>
      <c r="C31" s="5"/>
      <c r="D31" s="5"/>
      <c r="E31" s="5"/>
      <c r="F31" s="5"/>
      <c r="G31" s="5"/>
      <c r="H31" s="5"/>
    </row>
    <row r="32" spans="1:8" x14ac:dyDescent="0.25">
      <c r="A32" s="5"/>
      <c r="B32" s="5"/>
      <c r="C32" s="5"/>
      <c r="D32" s="5"/>
      <c r="E32" s="5"/>
      <c r="F32" s="5"/>
      <c r="G32" s="5"/>
      <c r="H32" s="5"/>
    </row>
    <row r="33" spans="1:8" x14ac:dyDescent="0.25">
      <c r="A33" s="5"/>
      <c r="B33" s="5"/>
      <c r="C33" s="5"/>
      <c r="D33" s="5"/>
      <c r="E33" s="5"/>
      <c r="F33" s="5"/>
      <c r="G33" s="5"/>
      <c r="H33" s="5"/>
    </row>
    <row r="34" spans="1:8" x14ac:dyDescent="0.25">
      <c r="A34" s="5"/>
      <c r="B34" s="5"/>
      <c r="C34" s="5"/>
      <c r="D34" s="5"/>
      <c r="E34" s="5"/>
      <c r="F34" s="5"/>
      <c r="G34" s="5"/>
      <c r="H34" s="5"/>
    </row>
    <row r="35" spans="1:8" x14ac:dyDescent="0.25">
      <c r="A35" s="5"/>
      <c r="B35" s="5"/>
      <c r="C35" s="5"/>
      <c r="D35" s="5"/>
      <c r="E35" s="5"/>
      <c r="F35" s="5"/>
      <c r="G35" s="5"/>
      <c r="H35" s="5"/>
    </row>
    <row r="36" spans="1:8" x14ac:dyDescent="0.25">
      <c r="A36" s="5"/>
      <c r="B36" s="5"/>
      <c r="C36" s="5"/>
      <c r="D36" s="5"/>
      <c r="E36" s="5"/>
      <c r="F36" s="5"/>
      <c r="G36" s="5"/>
      <c r="H36" s="5"/>
    </row>
    <row r="37" spans="1:8" x14ac:dyDescent="0.25">
      <c r="A37" s="5"/>
      <c r="B37" s="5"/>
      <c r="C37" s="5"/>
      <c r="D37" s="5"/>
      <c r="E37" s="5"/>
      <c r="F37" s="5"/>
      <c r="G37" s="5"/>
      <c r="H37" s="5"/>
    </row>
    <row r="38" spans="1:8" x14ac:dyDescent="0.25">
      <c r="A38" s="5"/>
      <c r="B38" s="5"/>
      <c r="C38" s="5"/>
      <c r="D38" s="5"/>
      <c r="E38" s="5"/>
      <c r="F38" s="5"/>
      <c r="G38" s="5"/>
      <c r="H38" s="5"/>
    </row>
    <row r="39" spans="1:8" x14ac:dyDescent="0.25">
      <c r="A39" s="5"/>
      <c r="B39" s="5"/>
      <c r="C39" s="5"/>
      <c r="D39" s="5"/>
      <c r="E39" s="5"/>
      <c r="F39" s="5"/>
      <c r="G39" s="5"/>
      <c r="H39" s="5"/>
    </row>
    <row r="40" spans="1:8" x14ac:dyDescent="0.25">
      <c r="A40" s="5"/>
      <c r="B40" s="5"/>
      <c r="C40" s="5"/>
      <c r="D40" s="5"/>
      <c r="E40" s="5"/>
      <c r="F40" s="5"/>
      <c r="G40" s="5"/>
      <c r="H40" s="5"/>
    </row>
    <row r="41" spans="1:8" x14ac:dyDescent="0.25">
      <c r="A41" s="5"/>
      <c r="B41" s="5"/>
      <c r="C41" s="5"/>
      <c r="D41" s="5"/>
      <c r="E41" s="5"/>
      <c r="F41" s="5"/>
      <c r="G41" s="5"/>
      <c r="H41" s="5"/>
    </row>
    <row r="42" spans="1:8" x14ac:dyDescent="0.25">
      <c r="A42" s="5"/>
      <c r="B42" s="5"/>
      <c r="C42" s="5"/>
      <c r="D42" s="5"/>
      <c r="E42" s="5"/>
      <c r="F42" s="5"/>
      <c r="G42" s="5"/>
      <c r="H42" s="5"/>
    </row>
    <row r="43" spans="1:8" x14ac:dyDescent="0.25">
      <c r="A43" s="5"/>
      <c r="B43" s="5"/>
      <c r="C43" s="5"/>
      <c r="D43" s="5"/>
      <c r="E43" s="5"/>
      <c r="F43" s="5"/>
      <c r="G43" s="5"/>
      <c r="H43" s="5"/>
    </row>
    <row r="44" spans="1:8" x14ac:dyDescent="0.25">
      <c r="A44" s="5"/>
      <c r="B44" s="5"/>
      <c r="C44" s="5"/>
      <c r="D44" s="5"/>
      <c r="E44" s="5"/>
      <c r="F44" s="5"/>
      <c r="G44" s="5"/>
      <c r="H44" s="5"/>
    </row>
    <row r="45" spans="1:8" x14ac:dyDescent="0.25">
      <c r="A45" s="5"/>
      <c r="B45" s="5"/>
      <c r="C45" s="5"/>
      <c r="D45" s="5"/>
      <c r="E45" s="5"/>
      <c r="F45" s="5"/>
      <c r="G45" s="5"/>
      <c r="H45" s="5"/>
    </row>
    <row r="46" spans="1:8" x14ac:dyDescent="0.25">
      <c r="A46" s="5"/>
      <c r="B46" s="5"/>
      <c r="C46" s="5"/>
      <c r="D46" s="5"/>
      <c r="E46" s="5"/>
      <c r="F46" s="5"/>
      <c r="G46" s="5"/>
      <c r="H46" s="5"/>
    </row>
    <row r="47" spans="1:8" x14ac:dyDescent="0.25">
      <c r="A47" s="5"/>
      <c r="B47" s="5"/>
      <c r="C47" s="5"/>
      <c r="D47" s="5"/>
      <c r="E47" s="5"/>
      <c r="F47" s="5"/>
      <c r="G47" s="5"/>
      <c r="H47" s="5"/>
    </row>
    <row r="48" spans="1:8" x14ac:dyDescent="0.25">
      <c r="A48" s="5"/>
      <c r="B48" s="5"/>
      <c r="C48" s="5"/>
      <c r="D48" s="5"/>
      <c r="E48" s="5"/>
      <c r="F48" s="5"/>
      <c r="G48" s="5"/>
      <c r="H48" s="5"/>
    </row>
    <row r="49" spans="1:8" x14ac:dyDescent="0.25">
      <c r="A49" s="5"/>
      <c r="B49" s="5"/>
      <c r="C49" s="5"/>
      <c r="D49" s="5"/>
      <c r="E49" s="5"/>
      <c r="F49" s="5"/>
      <c r="G49" s="5"/>
      <c r="H49" s="5"/>
    </row>
    <row r="50" spans="1:8" x14ac:dyDescent="0.25">
      <c r="A50" s="5"/>
      <c r="B50" s="5"/>
      <c r="C50" s="5"/>
      <c r="D50" s="5"/>
      <c r="E50" s="5"/>
      <c r="F50" s="5"/>
      <c r="G50" s="5"/>
      <c r="H50" s="5"/>
    </row>
    <row r="51" spans="1:8" x14ac:dyDescent="0.25">
      <c r="A51" s="5"/>
      <c r="B51" s="5"/>
      <c r="C51" s="5"/>
      <c r="D51" s="5"/>
      <c r="E51" s="5"/>
      <c r="F51" s="5"/>
      <c r="G51" s="5"/>
      <c r="H51" s="5"/>
    </row>
    <row r="52" spans="1:8" x14ac:dyDescent="0.25">
      <c r="A52" s="5"/>
      <c r="B52" s="5"/>
      <c r="C52" s="5"/>
      <c r="D52" s="5"/>
      <c r="E52" s="5"/>
      <c r="F52" s="5"/>
      <c r="G52" s="5"/>
      <c r="H52" s="5"/>
    </row>
    <row r="53" spans="1:8" x14ac:dyDescent="0.25">
      <c r="A53" s="5"/>
      <c r="B53" s="5"/>
      <c r="C53" s="5"/>
      <c r="D53" s="5"/>
      <c r="E53" s="5"/>
      <c r="F53" s="5"/>
      <c r="G53" s="5"/>
      <c r="H53" s="5"/>
    </row>
    <row r="54" spans="1:8" x14ac:dyDescent="0.25">
      <c r="A54" s="5"/>
      <c r="B54" s="5"/>
      <c r="C54" s="5"/>
      <c r="D54" s="5"/>
      <c r="E54" s="5"/>
      <c r="F54" s="5"/>
      <c r="G54" s="5"/>
      <c r="H54" s="5"/>
    </row>
    <row r="55" spans="1:8" x14ac:dyDescent="0.25">
      <c r="A55" s="5"/>
      <c r="B55" s="5"/>
      <c r="C55" s="5"/>
      <c r="D55" s="5"/>
      <c r="E55" s="5"/>
      <c r="F55" s="5"/>
      <c r="G55" s="5"/>
      <c r="H55" s="5"/>
    </row>
    <row r="56" spans="1:8" x14ac:dyDescent="0.25">
      <c r="A56" s="5"/>
      <c r="B56" s="5"/>
      <c r="C56" s="5"/>
      <c r="D56" s="5"/>
      <c r="E56" s="5"/>
      <c r="F56" s="5"/>
      <c r="G56" s="5"/>
      <c r="H56" s="5"/>
    </row>
    <row r="57" spans="1:8" x14ac:dyDescent="0.25">
      <c r="A57" s="5"/>
      <c r="B57" s="5"/>
      <c r="C57" s="5"/>
      <c r="D57" s="5"/>
      <c r="E57" s="5"/>
      <c r="F57" s="5"/>
      <c r="G57" s="5"/>
      <c r="H57" s="5"/>
    </row>
    <row r="58" spans="1:8" x14ac:dyDescent="0.25">
      <c r="A58" s="5"/>
      <c r="B58" s="5"/>
      <c r="C58" s="5"/>
      <c r="D58" s="5"/>
      <c r="E58" s="5"/>
      <c r="F58" s="5"/>
      <c r="G58" s="5"/>
      <c r="H58" s="5"/>
    </row>
    <row r="59" spans="1:8" x14ac:dyDescent="0.25">
      <c r="A59" s="5"/>
      <c r="B59" s="5"/>
      <c r="C59" s="5"/>
      <c r="D59" s="5"/>
      <c r="E59" s="5"/>
      <c r="F59" s="5"/>
      <c r="G59" s="5"/>
      <c r="H59" s="5"/>
    </row>
    <row r="60" spans="1:8" x14ac:dyDescent="0.25">
      <c r="A60" s="5"/>
      <c r="B60" s="5"/>
      <c r="C60" s="5"/>
      <c r="D60" s="5"/>
      <c r="E60" s="5"/>
      <c r="F60" s="5"/>
      <c r="G60" s="5"/>
      <c r="H60" s="5"/>
    </row>
    <row r="61" spans="1:8" x14ac:dyDescent="0.25">
      <c r="A61" s="5"/>
      <c r="B61" s="5"/>
      <c r="C61" s="5"/>
      <c r="D61" s="5"/>
      <c r="E61" s="5"/>
      <c r="F61" s="5"/>
      <c r="G61" s="5"/>
      <c r="H61" s="5"/>
    </row>
    <row r="62" spans="1:8" x14ac:dyDescent="0.25">
      <c r="A62" s="5"/>
      <c r="B62" s="5"/>
      <c r="C62" s="5"/>
      <c r="D62" s="5"/>
      <c r="E62" s="5"/>
      <c r="F62" s="5"/>
      <c r="G62" s="5"/>
      <c r="H62" s="5"/>
    </row>
    <row r="63" spans="1:8" x14ac:dyDescent="0.25">
      <c r="A63" s="5"/>
      <c r="B63" s="5"/>
      <c r="C63" s="5"/>
      <c r="D63" s="5"/>
      <c r="E63" s="5"/>
      <c r="F63" s="5"/>
      <c r="G63" s="5"/>
      <c r="H63" s="5"/>
    </row>
    <row r="64" spans="1:8" x14ac:dyDescent="0.25">
      <c r="A64" s="5"/>
      <c r="B64" s="5"/>
      <c r="C64" s="5"/>
      <c r="D64" s="5"/>
      <c r="E64" s="5"/>
      <c r="F64" s="5"/>
      <c r="G64" s="5"/>
      <c r="H64" s="5"/>
    </row>
    <row r="65" spans="1:8" x14ac:dyDescent="0.25">
      <c r="A65" s="5"/>
      <c r="B65" s="5"/>
      <c r="C65" s="5"/>
      <c r="D65" s="5"/>
      <c r="E65" s="5"/>
      <c r="F65" s="5"/>
      <c r="G65" s="5"/>
      <c r="H65" s="5"/>
    </row>
    <row r="66" spans="1:8" x14ac:dyDescent="0.25">
      <c r="A66" s="5"/>
      <c r="B66" s="5"/>
      <c r="C66" s="5"/>
      <c r="D66" s="5"/>
      <c r="E66" s="5"/>
      <c r="F66" s="5"/>
      <c r="G66" s="5"/>
      <c r="H66" s="5"/>
    </row>
    <row r="67" spans="1:8" x14ac:dyDescent="0.25">
      <c r="A67" s="5"/>
      <c r="B67" s="5"/>
      <c r="C67" s="5"/>
      <c r="D67" s="5"/>
      <c r="E67" s="5"/>
      <c r="F67" s="5"/>
      <c r="G67" s="5"/>
      <c r="H67" s="5"/>
    </row>
    <row r="68" spans="1:8" x14ac:dyDescent="0.25">
      <c r="A68" s="5"/>
      <c r="B68" s="5"/>
      <c r="C68" s="5"/>
      <c r="D68" s="5"/>
      <c r="E68" s="5"/>
      <c r="F68" s="5"/>
      <c r="G68" s="5"/>
      <c r="H68" s="5"/>
    </row>
    <row r="69" spans="1:8" x14ac:dyDescent="0.25">
      <c r="A69" s="5"/>
      <c r="B69" s="5"/>
      <c r="C69" s="5"/>
      <c r="D69" s="5"/>
      <c r="E69" s="5"/>
      <c r="F69" s="5"/>
      <c r="G69" s="5"/>
      <c r="H69" s="5"/>
    </row>
    <row r="70" spans="1:8" x14ac:dyDescent="0.25">
      <c r="A70" s="5"/>
      <c r="B70" s="5"/>
      <c r="C70" s="5"/>
      <c r="D70" s="5"/>
      <c r="E70" s="5"/>
      <c r="F70" s="5"/>
      <c r="G70" s="5"/>
      <c r="H70" s="5"/>
    </row>
    <row r="71" spans="1:8" x14ac:dyDescent="0.25">
      <c r="A71" s="5"/>
      <c r="B71" s="5"/>
      <c r="C71" s="5"/>
      <c r="D71" s="5"/>
      <c r="E71" s="5"/>
      <c r="F71" s="5"/>
      <c r="G71" s="5"/>
      <c r="H71" s="5"/>
    </row>
    <row r="72" spans="1:8" x14ac:dyDescent="0.25">
      <c r="A72" s="5"/>
      <c r="B72" s="5"/>
      <c r="C72" s="5"/>
      <c r="D72" s="5"/>
      <c r="E72" s="5"/>
      <c r="F72" s="5"/>
      <c r="G72" s="5"/>
      <c r="H72" s="5"/>
    </row>
    <row r="73" spans="1:8" x14ac:dyDescent="0.25">
      <c r="A73" s="5"/>
      <c r="B73" s="5"/>
      <c r="C73" s="5"/>
      <c r="D73" s="5"/>
      <c r="E73" s="5"/>
      <c r="F73" s="5"/>
      <c r="G73" s="5"/>
      <c r="H73" s="5"/>
    </row>
    <row r="74" spans="1:8" x14ac:dyDescent="0.25">
      <c r="A74" s="5"/>
      <c r="B74" s="5"/>
      <c r="C74" s="5"/>
      <c r="D74" s="5"/>
      <c r="E74" s="5"/>
      <c r="F74" s="5"/>
      <c r="G74" s="5"/>
      <c r="H74" s="5"/>
    </row>
    <row r="75" spans="1:8" x14ac:dyDescent="0.25">
      <c r="A75" s="5"/>
      <c r="B75" s="5"/>
      <c r="C75" s="5"/>
      <c r="D75" s="5"/>
      <c r="E75" s="5"/>
      <c r="F75" s="5"/>
      <c r="G75" s="5"/>
      <c r="H75" s="5"/>
    </row>
    <row r="76" spans="1:8" x14ac:dyDescent="0.25">
      <c r="A76" s="5"/>
      <c r="B76" s="5"/>
      <c r="C76" s="5"/>
      <c r="D76" s="5"/>
      <c r="E76" s="5"/>
      <c r="F76" s="5"/>
      <c r="G76" s="5"/>
      <c r="H76" s="5"/>
    </row>
    <row r="77" spans="1:8" x14ac:dyDescent="0.25">
      <c r="A77" s="5"/>
      <c r="B77" s="5"/>
      <c r="C77" s="5"/>
      <c r="D77" s="5"/>
      <c r="E77" s="5"/>
      <c r="F77" s="5"/>
      <c r="G77" s="5"/>
      <c r="H77" s="5"/>
    </row>
    <row r="78" spans="1:8" x14ac:dyDescent="0.25">
      <c r="A78" s="5"/>
      <c r="B78" s="5"/>
      <c r="C78" s="5"/>
      <c r="D78" s="5"/>
      <c r="E78" s="5"/>
      <c r="F78" s="5"/>
      <c r="G78" s="5"/>
      <c r="H78" s="5"/>
    </row>
    <row r="79" spans="1:8" x14ac:dyDescent="0.25">
      <c r="A79" s="5"/>
      <c r="B79" s="5"/>
      <c r="C79" s="5"/>
      <c r="D79" s="5"/>
      <c r="E79" s="5"/>
      <c r="F79" s="5"/>
      <c r="G79" s="5"/>
      <c r="H79" s="5"/>
    </row>
    <row r="80" spans="1:8" x14ac:dyDescent="0.25">
      <c r="A80" s="5"/>
      <c r="B80" s="5"/>
      <c r="C80" s="5"/>
      <c r="D80" s="5"/>
      <c r="E80" s="5"/>
      <c r="F80" s="5"/>
      <c r="G80" s="5"/>
      <c r="H80" s="5"/>
    </row>
    <row r="81" spans="1:8" x14ac:dyDescent="0.25">
      <c r="A81" s="5"/>
      <c r="B81" s="5"/>
      <c r="C81" s="5"/>
      <c r="D81" s="5"/>
      <c r="E81" s="5"/>
      <c r="F81" s="5"/>
      <c r="G81" s="5"/>
      <c r="H81" s="5"/>
    </row>
    <row r="82" spans="1:8" x14ac:dyDescent="0.25">
      <c r="A82" s="5"/>
      <c r="B82" s="5"/>
      <c r="C82" s="5"/>
      <c r="D82" s="5"/>
      <c r="E82" s="5"/>
      <c r="F82" s="5"/>
      <c r="G82" s="5"/>
      <c r="H82" s="5"/>
    </row>
    <row r="83" spans="1:8" x14ac:dyDescent="0.25">
      <c r="A83" s="5"/>
      <c r="B83" s="5"/>
      <c r="C83" s="5"/>
      <c r="D83" s="5"/>
      <c r="E83" s="5"/>
      <c r="F83" s="5"/>
      <c r="G83" s="5"/>
      <c r="H83" s="5"/>
    </row>
    <row r="84" spans="1:8" x14ac:dyDescent="0.25">
      <c r="A84" s="5"/>
      <c r="B84" s="5"/>
      <c r="C84" s="5"/>
      <c r="D84" s="5"/>
      <c r="E84" s="5"/>
      <c r="F84" s="5"/>
      <c r="G84" s="5"/>
      <c r="H84" s="5"/>
    </row>
    <row r="85" spans="1:8" x14ac:dyDescent="0.25">
      <c r="A85" s="5"/>
      <c r="B85" s="5"/>
      <c r="C85" s="5"/>
      <c r="D85" s="5"/>
      <c r="E85" s="5"/>
      <c r="F85" s="5"/>
      <c r="G85" s="5"/>
      <c r="H85" s="5"/>
    </row>
    <row r="86" spans="1:8" x14ac:dyDescent="0.25">
      <c r="A86" s="5"/>
      <c r="B86" s="5"/>
      <c r="C86" s="5"/>
      <c r="D86" s="5"/>
      <c r="E86" s="5"/>
      <c r="F86" s="5"/>
      <c r="G86" s="5"/>
      <c r="H86" s="5"/>
    </row>
    <row r="87" spans="1:8" x14ac:dyDescent="0.25">
      <c r="A87" s="5"/>
      <c r="B87" s="5"/>
      <c r="C87" s="5"/>
      <c r="D87" s="5"/>
      <c r="E87" s="5"/>
      <c r="F87" s="5"/>
      <c r="G87" s="5"/>
      <c r="H87" s="5"/>
    </row>
    <row r="88" spans="1:8" x14ac:dyDescent="0.25">
      <c r="A88" s="5"/>
      <c r="B88" s="5"/>
      <c r="C88" s="5"/>
      <c r="D88" s="5"/>
      <c r="E88" s="5"/>
      <c r="F88" s="5"/>
      <c r="G88" s="5"/>
      <c r="H88" s="5"/>
    </row>
    <row r="89" spans="1:8" x14ac:dyDescent="0.25">
      <c r="A89" s="5"/>
      <c r="B89" s="5"/>
      <c r="C89" s="5"/>
      <c r="D89" s="5"/>
      <c r="E89" s="5"/>
      <c r="F89" s="5"/>
      <c r="G89" s="5"/>
      <c r="H89" s="5"/>
    </row>
    <row r="90" spans="1:8" x14ac:dyDescent="0.25">
      <c r="A90" s="5"/>
      <c r="B90" s="5"/>
      <c r="C90" s="5"/>
      <c r="D90" s="5"/>
      <c r="E90" s="5"/>
      <c r="F90" s="5"/>
      <c r="G90" s="5"/>
      <c r="H90" s="5"/>
    </row>
    <row r="91" spans="1:8" x14ac:dyDescent="0.25">
      <c r="A91" s="5"/>
      <c r="B91" s="5"/>
      <c r="C91" s="5"/>
      <c r="D91" s="5"/>
      <c r="E91" s="5"/>
      <c r="F91" s="5"/>
      <c r="G91" s="5"/>
      <c r="H91" s="5"/>
    </row>
    <row r="92" spans="1:8" x14ac:dyDescent="0.25">
      <c r="A92" s="5"/>
      <c r="B92" s="5"/>
      <c r="C92" s="5"/>
      <c r="D92" s="5"/>
      <c r="E92" s="5"/>
      <c r="F92" s="5"/>
      <c r="G92" s="5"/>
      <c r="H92" s="5"/>
    </row>
    <row r="93" spans="1:8" x14ac:dyDescent="0.25">
      <c r="A93" s="5"/>
      <c r="B93" s="5"/>
      <c r="C93" s="5"/>
      <c r="D93" s="5"/>
      <c r="E93" s="5"/>
      <c r="F93" s="5"/>
      <c r="G93" s="5"/>
      <c r="H93" s="5"/>
    </row>
    <row r="94" spans="1:8" x14ac:dyDescent="0.25">
      <c r="A94" s="5"/>
      <c r="B94" s="5"/>
      <c r="C94" s="5"/>
      <c r="D94" s="5"/>
      <c r="E94" s="5"/>
      <c r="F94" s="5"/>
      <c r="G94" s="5"/>
      <c r="H94" s="5"/>
    </row>
    <row r="95" spans="1:8" x14ac:dyDescent="0.25">
      <c r="A95" s="5"/>
      <c r="B95" s="5"/>
      <c r="C95" s="5"/>
      <c r="D95" s="5"/>
      <c r="E95" s="5"/>
      <c r="F95" s="5"/>
      <c r="G95" s="5"/>
      <c r="H95" s="5"/>
    </row>
    <row r="96" spans="1:8" x14ac:dyDescent="0.25">
      <c r="A96" s="5"/>
      <c r="B96" s="5"/>
      <c r="C96" s="5"/>
      <c r="D96" s="5"/>
      <c r="E96" s="5"/>
      <c r="F96" s="5"/>
      <c r="G96" s="5"/>
      <c r="H96" s="5"/>
    </row>
    <row r="97" spans="1:8" x14ac:dyDescent="0.25">
      <c r="A97" s="5"/>
      <c r="B97" s="5"/>
      <c r="C97" s="5"/>
      <c r="D97" s="5"/>
      <c r="E97" s="5"/>
      <c r="F97" s="5"/>
      <c r="G97" s="5"/>
      <c r="H97" s="5"/>
    </row>
    <row r="98" spans="1:8" x14ac:dyDescent="0.25">
      <c r="A98" s="5"/>
      <c r="B98" s="5"/>
      <c r="C98" s="5"/>
      <c r="D98" s="5"/>
      <c r="E98" s="5"/>
      <c r="F98" s="5"/>
      <c r="G98" s="5"/>
      <c r="H98" s="5"/>
    </row>
    <row r="99" spans="1:8" x14ac:dyDescent="0.25">
      <c r="A99" s="5"/>
      <c r="B99" s="5"/>
      <c r="C99" s="5"/>
      <c r="D99" s="5"/>
      <c r="E99" s="5"/>
      <c r="F99" s="5"/>
      <c r="G99" s="5"/>
      <c r="H99" s="5"/>
    </row>
    <row r="100" spans="1:8" x14ac:dyDescent="0.25">
      <c r="A100" s="5"/>
      <c r="B100" s="5"/>
      <c r="C100" s="5"/>
      <c r="D100" s="5"/>
      <c r="E100" s="5"/>
      <c r="F100" s="5"/>
      <c r="G100" s="5"/>
      <c r="H100" s="5"/>
    </row>
    <row r="101" spans="1:8" x14ac:dyDescent="0.25">
      <c r="A101" s="5"/>
      <c r="B101" s="5"/>
      <c r="C101" s="5"/>
      <c r="D101" s="5"/>
      <c r="E101" s="5"/>
      <c r="F101" s="5"/>
      <c r="G101" s="5"/>
      <c r="H101" s="5"/>
    </row>
    <row r="102" spans="1:8" x14ac:dyDescent="0.25">
      <c r="A102" s="5"/>
      <c r="B102" s="5"/>
      <c r="C102" s="5"/>
      <c r="D102" s="5"/>
      <c r="E102" s="5"/>
      <c r="F102" s="5"/>
      <c r="G102" s="5"/>
      <c r="H102" s="5"/>
    </row>
    <row r="103" spans="1:8" x14ac:dyDescent="0.25">
      <c r="A103" s="5"/>
      <c r="B103" s="5"/>
      <c r="C103" s="5"/>
      <c r="D103" s="5"/>
      <c r="E103" s="5"/>
      <c r="F103" s="5"/>
      <c r="G103" s="5"/>
      <c r="H103" s="5"/>
    </row>
    <row r="104" spans="1:8" x14ac:dyDescent="0.25">
      <c r="A104" s="5"/>
      <c r="B104" s="5"/>
      <c r="C104" s="5"/>
      <c r="D104" s="5"/>
      <c r="E104" s="5"/>
      <c r="F104" s="5"/>
      <c r="G104" s="5"/>
      <c r="H104" s="5"/>
    </row>
  </sheetData>
  <autoFilter ref="A4:H104" xr:uid="{00000000-0009-0000-0000-000003000000}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C78"/>
    <pageSetUpPr fitToPage="1"/>
  </sheetPr>
  <dimension ref="A1:F15"/>
  <sheetViews>
    <sheetView showGridLines="0" zoomScale="74" zoomScaleNormal="74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25" customWidth="1"/>
    <col min="2" max="6" width="22" customWidth="1"/>
  </cols>
  <sheetData>
    <row r="1" spans="1:6" ht="33.950000000000003" customHeight="1" x14ac:dyDescent="0.25">
      <c r="A1" s="16" t="s">
        <v>112</v>
      </c>
      <c r="B1" s="17"/>
      <c r="C1" s="17"/>
      <c r="D1" s="17"/>
      <c r="E1" s="17"/>
      <c r="F1" s="17"/>
    </row>
    <row r="2" spans="1:6" ht="26.1" customHeight="1" x14ac:dyDescent="0.25">
      <c r="A2" s="22" t="s">
        <v>113</v>
      </c>
      <c r="B2" s="17"/>
      <c r="C2" s="17"/>
      <c r="D2" s="17"/>
      <c r="E2" s="17"/>
      <c r="F2" s="17"/>
    </row>
    <row r="4" spans="1:6" ht="57.95" customHeight="1" x14ac:dyDescent="0.25">
      <c r="A4" s="13" t="s">
        <v>114</v>
      </c>
      <c r="B4" s="27" t="s">
        <v>115</v>
      </c>
      <c r="C4" s="20"/>
      <c r="D4" s="20"/>
      <c r="E4" s="20"/>
      <c r="F4" s="20"/>
    </row>
    <row r="5" spans="1:6" ht="57.95" customHeight="1" x14ac:dyDescent="0.25">
      <c r="A5" s="13" t="s">
        <v>116</v>
      </c>
      <c r="B5" s="27" t="s">
        <v>117</v>
      </c>
      <c r="C5" s="20"/>
      <c r="D5" s="20"/>
      <c r="E5" s="20"/>
      <c r="F5" s="20"/>
    </row>
    <row r="6" spans="1:6" ht="57.95" customHeight="1" x14ac:dyDescent="0.25">
      <c r="A6" s="13" t="s">
        <v>118</v>
      </c>
      <c r="B6" s="27" t="s">
        <v>119</v>
      </c>
      <c r="C6" s="20"/>
      <c r="D6" s="20"/>
      <c r="E6" s="20"/>
      <c r="F6" s="20"/>
    </row>
    <row r="7" spans="1:6" ht="57.95" customHeight="1" x14ac:dyDescent="0.25">
      <c r="A7" s="13" t="s">
        <v>120</v>
      </c>
      <c r="B7" s="27" t="s">
        <v>121</v>
      </c>
      <c r="C7" s="20"/>
      <c r="D7" s="20"/>
      <c r="E7" s="20"/>
      <c r="F7" s="20"/>
    </row>
    <row r="8" spans="1:6" ht="57.95" customHeight="1" x14ac:dyDescent="0.25">
      <c r="A8" s="13" t="s">
        <v>122</v>
      </c>
      <c r="B8" s="27" t="s">
        <v>123</v>
      </c>
      <c r="C8" s="20"/>
      <c r="D8" s="20"/>
      <c r="E8" s="20"/>
      <c r="F8" s="20"/>
    </row>
    <row r="9" spans="1:6" ht="57.95" customHeight="1" x14ac:dyDescent="0.25">
      <c r="A9" s="13" t="s">
        <v>124</v>
      </c>
      <c r="B9" s="27" t="s">
        <v>125</v>
      </c>
      <c r="C9" s="20"/>
      <c r="D9" s="20"/>
      <c r="E9" s="20"/>
      <c r="F9" s="20"/>
    </row>
    <row r="10" spans="1:6" ht="57.95" customHeight="1" x14ac:dyDescent="0.25">
      <c r="A10" s="13" t="s">
        <v>126</v>
      </c>
      <c r="B10" s="27" t="s">
        <v>127</v>
      </c>
      <c r="C10" s="20"/>
      <c r="D10" s="20"/>
      <c r="E10" s="20"/>
      <c r="F10" s="20"/>
    </row>
    <row r="11" spans="1:6" ht="57.95" customHeight="1" x14ac:dyDescent="0.25">
      <c r="A11" s="13" t="s">
        <v>128</v>
      </c>
      <c r="B11" s="27" t="s">
        <v>129</v>
      </c>
      <c r="C11" s="20"/>
      <c r="D11" s="20"/>
      <c r="E11" s="20"/>
      <c r="F11" s="20"/>
    </row>
    <row r="12" spans="1:6" ht="57.95" customHeight="1" x14ac:dyDescent="0.25">
      <c r="A12" s="13" t="s">
        <v>130</v>
      </c>
      <c r="B12" s="27" t="s">
        <v>131</v>
      </c>
      <c r="C12" s="20"/>
      <c r="D12" s="20"/>
      <c r="E12" s="20"/>
      <c r="F12" s="20"/>
    </row>
    <row r="13" spans="1:6" ht="57.95" customHeight="1" x14ac:dyDescent="0.25">
      <c r="A13" s="13" t="s">
        <v>132</v>
      </c>
      <c r="B13" s="27" t="s">
        <v>133</v>
      </c>
      <c r="C13" s="20"/>
      <c r="D13" s="20"/>
      <c r="E13" s="20"/>
      <c r="F13" s="20"/>
    </row>
    <row r="14" spans="1:6" ht="57.95" customHeight="1" x14ac:dyDescent="0.25">
      <c r="A14" s="13" t="s">
        <v>134</v>
      </c>
      <c r="B14" s="27" t="s">
        <v>135</v>
      </c>
      <c r="C14" s="20"/>
      <c r="D14" s="20"/>
      <c r="E14" s="20"/>
      <c r="F14" s="20"/>
    </row>
    <row r="15" spans="1:6" ht="57.95" customHeight="1" x14ac:dyDescent="0.25">
      <c r="A15" s="13" t="s">
        <v>136</v>
      </c>
      <c r="B15" s="27" t="s">
        <v>137</v>
      </c>
      <c r="C15" s="20"/>
      <c r="D15" s="20"/>
      <c r="E15" s="20"/>
      <c r="F15" s="20"/>
    </row>
  </sheetData>
  <mergeCells count="14">
    <mergeCell ref="B15:F15"/>
    <mergeCell ref="B10:F10"/>
    <mergeCell ref="A1:F1"/>
    <mergeCell ref="B11:F11"/>
    <mergeCell ref="B5:F5"/>
    <mergeCell ref="B14:F14"/>
    <mergeCell ref="B8:F8"/>
    <mergeCell ref="B9:F9"/>
    <mergeCell ref="B13:F13"/>
    <mergeCell ref="B4:F4"/>
    <mergeCell ref="A2:F2"/>
    <mergeCell ref="B12:F12"/>
    <mergeCell ref="B7:F7"/>
    <mergeCell ref="B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Purchase Orders</vt:lpstr>
      <vt:lpstr>Receipts</vt:lpstr>
      <vt:lpstr>Suppliers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 Order Tracker</dc:title>
  <dc:subject>Purchase order tracking and supplier directory</dc:subject>
  <dc:creator>OpenAI</dc:creator>
  <cp:lastModifiedBy>بندر الراضي</cp:lastModifiedBy>
  <dcterms:created xsi:type="dcterms:W3CDTF">2026-10-14T12:38:53Z</dcterms:created>
  <dcterms:modified xsi:type="dcterms:W3CDTF">2026-10-15T11:43:09Z</dcterms:modified>
</cp:coreProperties>
</file>